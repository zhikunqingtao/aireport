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资料来源" sheetId="2" state="visible" r:id="rId2"/>
    <sheet xmlns:r="http://schemas.openxmlformats.org/officeDocument/2006/relationships" name="原始数据_财务" sheetId="3" state="visible" r:id="rId3"/>
    <sheet xmlns:r="http://schemas.openxmlformats.org/officeDocument/2006/relationships" name="原始数据_IPO与股东" sheetId="4" state="visible" r:id="rId4"/>
    <sheet xmlns:r="http://schemas.openxmlformats.org/officeDocument/2006/relationships" name="原始数据_经营" sheetId="5" state="visible" r:id="rId5"/>
    <sheet xmlns:r="http://schemas.openxmlformats.org/officeDocument/2006/relationships" name="核心计算" sheetId="6" state="visible" r:id="rId6"/>
    <sheet xmlns:r="http://schemas.openxmlformats.org/officeDocument/2006/relationships" name="趋势图表" sheetId="7" state="visible" r:id="rId7"/>
    <sheet xmlns:r="http://schemas.openxmlformats.org/officeDocument/2006/relationships" name="分析结论" sheetId="8" state="visible" r:id="rId8"/>
    <sheet xmlns:r="http://schemas.openxmlformats.org/officeDocument/2006/relationships" name="待核验事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#,##0.0000"/>
    <numFmt numFmtId="167" formatCode="0.00000000%"/>
    <numFmt numFmtId="168" formatCode="#,##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1"/>
    </font>
    <font>
      <i val="1"/>
      <color rgb="00666666"/>
      <sz val="10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3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营业收入与归母净利润（2022–2025，单位：万元）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'趋势图表'!B4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'趋势图表'!$A$5:$A$8</f>
            </numRef>
          </cat>
          <val>
            <numRef>
              <f>'趋势图表'!$B$5:$B$8</f>
            </numRef>
          </val>
        </ser>
        <ser>
          <idx val="1"/>
          <order val="1"/>
          <tx>
            <strRef>
              <f>'趋势图表'!C4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'趋势图表'!$A$5:$A$8</f>
            </numRef>
          </cat>
          <val>
            <numRef>
              <f>'趋势图表'!$C$5:$C$8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主营业务毛利率与研发费用率（2022–2025）</a:t>
            </a:r>
          </a:p>
        </rich>
      </tx>
    </title>
    <plotArea>
      <lineChart>
        <grouping val="standard"/>
        <ser>
          <idx val="0"/>
          <order val="0"/>
          <tx>
            <strRef>
              <f>'趋势图表'!B11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'趋势图表'!$A$12:$A$15</f>
            </numRef>
          </cat>
          <val>
            <numRef>
              <f>'趋势图表'!$B$12:$B$15</f>
            </numRef>
          </val>
        </ser>
        <ser>
          <idx val="1"/>
          <order val="1"/>
          <tx>
            <strRef>
              <f>'趋势图表'!C11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'趋势图表'!$A$12:$A$15</f>
            </numRef>
          </cat>
          <val>
            <numRef>
              <f>'趋势图表'!$C$12:$C$15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分产品收入结构（2023–2025，堆叠柱，单位：万元）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'趋势图表'!B18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'趋势图表'!$A$19:$A$21</f>
            </numRef>
          </cat>
          <val>
            <numRef>
              <f>'趋势图表'!$B$19:$B$21</f>
            </numRef>
          </val>
        </ser>
        <ser>
          <idx val="1"/>
          <order val="1"/>
          <tx>
            <strRef>
              <f>'趋势图表'!C18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'趋势图表'!$A$19:$A$21</f>
            </numRef>
          </cat>
          <val>
            <numRef>
              <f>'趋势图表'!$C$19:$C$21</f>
            </numRef>
          </val>
        </ser>
        <ser>
          <idx val="2"/>
          <order val="2"/>
          <tx>
            <strRef>
              <f>'趋势图表'!D18</f>
            </strRef>
          </tx>
          <spPr>
            <a:ln xmlns:a="http://schemas.openxmlformats.org/drawingml/2006/main">
              <a:prstDash val="solid"/>
            </a:ln>
          </spPr>
          <cat>
            <numRef>
              <f>'趋势图表'!$A$19:$A$21</f>
            </numRef>
          </cat>
          <val>
            <numRef>
              <f>'趋势图表'!$D$19:$D$21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人形机器人销量（柱，台）与平均单价（线，万元/台，次坐标轴）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'趋势图表'!B24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'趋势图表'!$A$25:$A$27</f>
            </numRef>
          </cat>
          <val>
            <numRef>
              <f>'趋势图表'!$B$25:$B$27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'趋势图表'!C24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'趋势图表'!$C$25:$C$27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台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万元/台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境外收入（柱，万元）与境外占比（线，次坐标轴）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'趋势图表'!B30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'趋势图表'!$A$31:$A$34</f>
            </numRef>
          </cat>
          <val>
            <numRef>
              <f>'趋势图表'!$B$31:$B$34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'趋势图表'!C30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'趋势图表'!$C$31:$C$34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境外占比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经营活动现金流净额（2022–2025，单位：万元）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'趋势图表'!B37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'趋势图表'!$A$38:$A$41</f>
            </numRef>
          </cat>
          <val>
            <numRef>
              <f>'趋势图表'!$B$38:$B$41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市值轨迹（亿元，二级市场数据：发行→首日→2026-08-31）</a:t>
            </a:r>
          </a:p>
        </rich>
      </tx>
    </title>
    <plotArea>
      <lineChart>
        <grouping val="standard"/>
        <ser>
          <idx val="0"/>
          <order val="0"/>
          <tx>
            <strRef>
              <f>'趋势图表'!B44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'趋势图表'!$A$45:$A$50</f>
            </numRef>
          </cat>
          <val>
            <numRef>
              <f>'趋势图表'!$B$45:$B$50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51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69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69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87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87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105</row>
      <rowOff>0</rowOff>
    </from>
    <ext cx="57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宇树科技（688836.SH）经营与财务分析底稿——说明</t>
        </is>
      </c>
    </row>
    <row r="3">
      <c r="A3" s="2" t="inlineStr">
        <is>
          <t>用途：汇总宇树科技IPO、经营与财务公开数据，形成可追溯、可编辑的分析底稿，供投资研究参考。</t>
        </is>
      </c>
    </row>
    <row r="4">
      <c r="A4" s="2" t="inlineStr">
        <is>
          <t>资料截止日：2026-08-30。</t>
        </is>
      </c>
    </row>
    <row r="5">
      <c r="A5" s="2" t="inlineStr">
        <is>
          <t>单位约定：财务金额一律为人民币万元（每股价格为元/股；市值另标注为亿元处会注明；销量单位为台；单价为万元/台）。</t>
        </is>
      </c>
    </row>
    <row r="6">
      <c r="A6" s="2" t="inlineStr">
        <is>
          <t>报告期口径：以招股说明书注册稿/上市公告书口径（2023–2025年度经审计）为主分析口径；申报稿数据（2022年度、2025年1-9月）作补充并注明；2026年上半年数据来自上市公告书。</t>
        </is>
      </c>
    </row>
    <row r="7">
      <c r="A7" s="2" t="inlineStr">
        <is>
          <t>可靠性图例：✅=双源及以上交叉验证；⚠️=单一来源/倒算/约数，需人工核验；🔮=第三方预测，严禁写成事实。</t>
        </is>
      </c>
    </row>
    <row r="8">
      <c r="A8" s="2" t="inlineStr">
        <is>
          <t>公司无少数股东权益，净利润=归母净利润。2022年数据不在注册稿报告期内（申报稿口径）。</t>
        </is>
      </c>
    </row>
    <row r="9">
      <c r="A9" s="2" t="inlineStr">
        <is>
          <t>免责声明：预测类内容与事实严格区分（🔮第三方预测仅在允许位置出现并明确标注）；本底稿不构成投资建议。</t>
        </is>
      </c>
    </row>
    <row r="10">
      <c r="A10" s="2" t="inlineStr"/>
    </row>
    <row r="11">
      <c r="A11" s="3" t="inlineStr">
        <is>
          <t>Sheet导航：</t>
        </is>
      </c>
    </row>
    <row r="12">
      <c r="A12" s="2" t="inlineStr">
        <is>
          <t>1 说明——本页，口径与图例约定。</t>
        </is>
      </c>
    </row>
    <row r="13">
      <c r="A13" s="2" t="inlineStr">
        <is>
          <t>2 资料来源——核心来源清单（首条为上交所688836公告列表，2026-08-30核验）。</t>
        </is>
      </c>
    </row>
    <row r="14">
      <c r="A14" s="2" t="inlineStr">
        <is>
          <t>3 原始数据_财务——数据块A–F：利润表/分产品/分地区/销量单价/资产负债/员工。</t>
        </is>
      </c>
    </row>
    <row r="15">
      <c r="A15" s="2" t="inlineStr">
        <is>
          <t>4 原始数据_IPO与股东——数据块G：发行要素、时间线、股东、募投、二级市场表现、融资历史、机构观点。</t>
        </is>
      </c>
    </row>
    <row r="16">
      <c r="A16" s="2" t="inlineStr">
        <is>
          <t>5 原始数据_经营——数据块H：产品定价、产能、市占率、下游应用、2026大事记、行业预测。</t>
        </is>
      </c>
    </row>
    <row r="17">
      <c r="A17" s="2" t="inlineStr">
        <is>
          <t>6 核心计算——增速/利润率/CAGR/交叉验证/估值等，全部为Excel公式跨表引用，未硬编码结果。</t>
        </is>
      </c>
    </row>
    <row r="18">
      <c r="A18" s="2" t="inlineStr">
        <is>
          <t>7 趋势图表——顶部图表数据区（公式引用）+7个原生Excel图表。</t>
        </is>
      </c>
    </row>
    <row r="19">
      <c r="A19" s="2" t="inlineStr">
        <is>
          <t>8 分析结论——9节结论+局限与数据口径说明。</t>
        </is>
      </c>
    </row>
    <row r="20">
      <c r="A20" s="2" t="inlineStr">
        <is>
          <t>9 待核验事项——单一来源/缺失数据清单及建议核验渠道。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0" customWidth="1" min="3" max="3"/>
    <col width="17" customWidth="1" min="4" max="4"/>
    <col width="62" customWidth="1" min="5" max="5"/>
    <col width="50" customWidth="1" min="6" max="6"/>
    <col width="14" customWidth="1" min="7" max="7"/>
  </cols>
  <sheetData>
    <row r="1">
      <c r="A1" s="1" t="inlineStr">
        <is>
          <t>资料来源（精选核心来源30条；首条为上交所公告列表，2026-08-30核验）</t>
        </is>
      </c>
    </row>
    <row r="2">
      <c r="A2" s="4" t="inlineStr">
        <is>
          <t>编号</t>
        </is>
      </c>
      <c r="B2" s="4" t="inlineStr">
        <is>
          <t>类型</t>
        </is>
      </c>
      <c r="C2" s="4" t="inlineStr">
        <is>
          <t>名称</t>
        </is>
      </c>
      <c r="D2" s="4" t="inlineStr">
        <is>
          <t>日期</t>
        </is>
      </c>
      <c r="E2" s="4" t="inlineStr">
        <is>
          <t>关键内容</t>
        </is>
      </c>
      <c r="F2" s="4" t="inlineStr">
        <is>
          <t>URL</t>
        </is>
      </c>
      <c r="G2" s="4" t="inlineStr">
        <is>
          <t>可靠性</t>
        </is>
      </c>
    </row>
    <row r="3">
      <c r="A3" s="5" t="n">
        <v>1</v>
      </c>
      <c r="B3" s="5" t="inlineStr">
        <is>
          <t>官方披露</t>
        </is>
      </c>
      <c r="C3" s="6" t="inlineStr">
        <is>
          <t>上海证券交易所官网·688836公司公告列表</t>
        </is>
      </c>
      <c r="D3" s="5" t="inlineStr">
        <is>
          <t>2026-08-30核验</t>
        </is>
      </c>
      <c r="E3" s="6" t="inlineStr">
        <is>
          <t>含招股意向书（2026-07-31）、发行公告、招股说明书正式稿（2026-08-14）、上市公告书（2026-08-18）等；经实地访问确认：截至2026-08-30公司未披露2026年半年报</t>
        </is>
      </c>
      <c r="F3" s="6" t="inlineStr">
        <is>
          <t>https://www.sse.com.cn/assortment/stock/list/info/announcement/index.shtml?productId=688836</t>
        </is>
      </c>
      <c r="G3" s="5" t="inlineStr">
        <is>
          <t>✅已直接核验</t>
        </is>
      </c>
    </row>
    <row r="4">
      <c r="A4" s="5" t="n">
        <v>2</v>
      </c>
      <c r="B4" s="5" t="inlineStr">
        <is>
          <t>官方披露</t>
        </is>
      </c>
      <c r="C4" s="6" t="inlineStr">
        <is>
          <t>上交所·上市交易公告（上证公告(股票)[2026]25号）</t>
        </is>
      </c>
      <c r="D4" s="5" t="inlineStr">
        <is>
          <t>2026-08-18</t>
        </is>
      </c>
      <c r="E4" s="6" t="inlineStr">
        <is>
          <t>2026-08-19上市，发行后总股本40,446.434万股</t>
        </is>
      </c>
      <c r="F4" s="6" t="inlineStr">
        <is>
          <t>https://www.sse.com.cn/disclosure/announcement/listing/ipo/c/c_20260818_10829204.shtml</t>
        </is>
      </c>
      <c r="G4" s="5" t="inlineStr">
        <is>
          <t>✅</t>
        </is>
      </c>
    </row>
    <row r="5">
      <c r="A5" s="5" t="n">
        <v>3</v>
      </c>
      <c r="B5" s="5" t="inlineStr">
        <is>
          <t>官方披露</t>
        </is>
      </c>
      <c r="C5" s="6" t="inlineStr">
        <is>
          <t>中国证券报·发行结果公告</t>
        </is>
      </c>
      <c r="D5" s="5" t="inlineStr">
        <is>
          <t>2026-08-14</t>
        </is>
      </c>
      <c r="E5" s="6" t="inlineStr">
        <is>
          <t>过会日2026-06-01、证监许可〔2026〕1612号、定价与配售细节、回拨机制</t>
        </is>
      </c>
      <c r="F5" s="6" t="inlineStr">
        <is>
          <t>https://epaper.cs.com.cn/zgzqb/wap/html/2026-08/14/nw.D110000zgzqb_20260814_1-A08.htm</t>
        </is>
      </c>
      <c r="G5" s="5" t="inlineStr">
        <is>
          <t>✅</t>
        </is>
      </c>
    </row>
    <row r="6">
      <c r="A6" s="5" t="n">
        <v>4</v>
      </c>
      <c r="B6" s="5" t="inlineStr">
        <is>
          <t>官方披露</t>
        </is>
      </c>
      <c r="C6" s="6" t="inlineStr">
        <is>
          <t>证券时报网·发行公告</t>
        </is>
      </c>
      <c r="D6" s="5" t="inlineStr">
        <is>
          <t>2026-08-07</t>
        </is>
      </c>
      <c r="E6" s="6" t="inlineStr">
        <is>
          <t>发行价150.80元/股、申购安排</t>
        </is>
      </c>
      <c r="F6" s="6" t="inlineStr">
        <is>
          <t>https://epaper.stcn.com/con/202608/07/content_2958508.html</t>
        </is>
      </c>
      <c r="G6" s="5" t="inlineStr">
        <is>
          <t>✅</t>
        </is>
      </c>
    </row>
    <row r="7">
      <c r="A7" s="5" t="n">
        <v>5</v>
      </c>
      <c r="B7" s="5" t="inlineStr">
        <is>
          <t>官方披露</t>
        </is>
      </c>
      <c r="C7" s="6" t="inlineStr">
        <is>
          <t>证券之星·上市公告书内容摘要</t>
        </is>
      </c>
      <c r="D7" s="5" t="inlineStr">
        <is>
          <t>2026-08-17</t>
        </is>
      </c>
      <c r="E7" s="6" t="inlineStr">
        <is>
          <t>募资净额591,714.92万元、王兴兴发行后持股21.4395%、流通股仅7.44%、上市标准</t>
        </is>
      </c>
      <c r="F7" s="6" t="inlineStr">
        <is>
          <t>https://4g.stockstar.com/detail/AN2026081700035878</t>
        </is>
      </c>
      <c r="G7" s="5" t="inlineStr">
        <is>
          <t>✅</t>
        </is>
      </c>
    </row>
    <row r="8">
      <c r="A8" s="5" t="n">
        <v>6</v>
      </c>
      <c r="B8" s="5" t="inlineStr">
        <is>
          <t>权威媒体</t>
        </is>
      </c>
      <c r="C8" s="6" t="inlineStr">
        <is>
          <t>新华社《宇树科技，通过科创板上市审核》</t>
        </is>
      </c>
      <c r="D8" s="5" t="inlineStr">
        <is>
          <t>2026-06-01</t>
        </is>
      </c>
      <c r="E8" s="6" t="inlineStr">
        <is>
          <t>2023–2025营收1.59/3.93/16.99亿、净利润-1,114.51万/9,547.47万/2.78亿</t>
        </is>
      </c>
      <c r="F8" s="6" t="inlineStr">
        <is>
          <t>未获取</t>
        </is>
      </c>
      <c r="G8" s="5" t="inlineStr">
        <is>
          <t>✅</t>
        </is>
      </c>
    </row>
    <row r="9">
      <c r="A9" s="5" t="n">
        <v>7</v>
      </c>
      <c r="B9" s="5" t="inlineStr">
        <is>
          <t>权威媒体</t>
        </is>
      </c>
      <c r="C9" s="6" t="inlineStr">
        <is>
          <t>澎湃新闻（申报稿精确值报道）</t>
        </is>
      </c>
      <c r="D9" s="5" t="inlineStr">
        <is>
          <t>2026-03-20</t>
        </is>
      </c>
      <c r="E9" s="6" t="inlineStr">
        <is>
          <t>申报稿：营收15,913.44万/39,237.06万/170,820.87万（经审阅）</t>
        </is>
      </c>
      <c r="F9" s="6" t="inlineStr">
        <is>
          <t>未获取</t>
        </is>
      </c>
      <c r="G9" s="5" t="inlineStr">
        <is>
          <t>✅</t>
        </is>
      </c>
    </row>
    <row r="10">
      <c r="A10" s="5" t="n">
        <v>8</v>
      </c>
      <c r="B10" s="5" t="inlineStr">
        <is>
          <t>权威媒体</t>
        </is>
      </c>
      <c r="C10" s="6" t="inlineStr">
        <is>
          <t>长江商报《宇树科技营收17亿扣非6亿拟募42亿》</t>
        </is>
      </c>
      <c r="D10" s="5" t="inlineStr">
        <is>
          <t>2026-03-23</t>
        </is>
      </c>
      <c r="E10" s="6" t="inlineStr">
        <is>
          <t>总资产32.15亿/负债6.02亿/权益26.13亿、经营现金流/研发费用/境外收入/产销量全序列（部分为唯一来源）</t>
        </is>
      </c>
      <c r="F10" s="6" t="inlineStr">
        <is>
          <t>未获取</t>
        </is>
      </c>
      <c r="G10" s="5" t="inlineStr">
        <is>
          <t>⚠️部分单一来源</t>
        </is>
      </c>
    </row>
    <row r="11">
      <c r="A11" s="5" t="n">
        <v>9</v>
      </c>
      <c r="B11" s="5" t="inlineStr">
        <is>
          <t>权威媒体</t>
        </is>
      </c>
      <c r="C11" s="6" t="inlineStr">
        <is>
          <t>证券时报/券商中国（上会稿与上市公告报道）</t>
        </is>
      </c>
      <c r="D11" s="5" t="inlineStr">
        <is>
          <t>2026-05-25/2026-08-17</t>
        </is>
      </c>
      <c r="E11" s="6" t="inlineStr">
        <is>
          <t>主营毛利率44.22%/56.74%/60.13%、归母全序列、2026H1归母预计区间2.58–3.06亿</t>
        </is>
      </c>
      <c r="F11" s="6" t="inlineStr">
        <is>
          <t>未获取</t>
        </is>
      </c>
      <c r="G11" s="5" t="inlineStr">
        <is>
          <t>✅</t>
        </is>
      </c>
    </row>
    <row r="12">
      <c r="A12" s="5" t="n">
        <v>10</v>
      </c>
      <c r="B12" s="5" t="inlineStr">
        <is>
          <t>权威媒体</t>
        </is>
      </c>
      <c r="C12" s="6" t="inlineStr">
        <is>
          <t>中新经纬（证监会注册批复报道）</t>
        </is>
      </c>
      <c r="D12" s="5" t="inlineStr">
        <is>
          <t>2026-07-02</t>
        </is>
      </c>
      <c r="E12" s="6" t="inlineStr">
        <is>
          <t>分产品收入：四足1.19/2.31/6.98亿，人形296.71万/1.07亿/8.68亿及占比（注册稿口径）</t>
        </is>
      </c>
      <c r="F12" s="6" t="inlineStr">
        <is>
          <t>未获取</t>
        </is>
      </c>
      <c r="G12" s="5" t="inlineStr">
        <is>
          <t>✅</t>
        </is>
      </c>
    </row>
    <row r="13">
      <c r="A13" s="5" t="n">
        <v>11</v>
      </c>
      <c r="B13" s="5" t="inlineStr">
        <is>
          <t>权威媒体</t>
        </is>
      </c>
      <c r="C13" s="6" t="inlineStr">
        <is>
          <t>金融时报（申报稿/上会稿报道）</t>
        </is>
      </c>
      <c r="D13" s="5" t="inlineStr">
        <is>
          <t>2026-03-21/2026-05-26</t>
        </is>
      </c>
      <c r="E13" s="6" t="inlineStr">
        <is>
          <t>归母净利润全序列；2025经营现金流6.70亿、2024年1.92亿、2026Q1现金流3,439.96万</t>
        </is>
      </c>
      <c r="F13" s="6" t="inlineStr">
        <is>
          <t>未获取</t>
        </is>
      </c>
      <c r="G13" s="5" t="inlineStr">
        <is>
          <t>✅</t>
        </is>
      </c>
    </row>
    <row r="14">
      <c r="A14" s="5" t="n">
        <v>12</v>
      </c>
      <c r="B14" s="5" t="inlineStr">
        <is>
          <t>权威媒体</t>
        </is>
      </c>
      <c r="C14" s="6" t="inlineStr">
        <is>
          <t>第一财经/无锡日报（上市首日报道）</t>
        </is>
      </c>
      <c r="D14" s="5" t="inlineStr">
        <is>
          <t>2026-08-19</t>
        </is>
      </c>
      <c r="E14" s="6" t="inlineStr">
        <is>
          <t>上市首日行情+2026H1：营收11.52亿/归母2.74亿/扣非2.44亿</t>
        </is>
      </c>
      <c r="F14" s="6" t="inlineStr">
        <is>
          <t>未获取</t>
        </is>
      </c>
      <c r="G14" s="5" t="inlineStr">
        <is>
          <t>✅</t>
        </is>
      </c>
    </row>
    <row r="15">
      <c r="A15" s="5" t="n">
        <v>13</v>
      </c>
      <c r="B15" s="5" t="inlineStr">
        <is>
          <t>权威媒体</t>
        </is>
      </c>
      <c r="C15" s="6" t="inlineStr">
        <is>
          <t>21世纪经济报道（中报盘点）</t>
        </is>
      </c>
      <c r="D15" s="5" t="inlineStr">
        <is>
          <t>2026-08-29</t>
        </is>
      </c>
      <c r="E15" s="6" t="inlineStr">
        <is>
          <t>2026H1销售费用+约250%、研发费用+约152%至1.36亿</t>
        </is>
      </c>
      <c r="F15" s="6" t="inlineStr">
        <is>
          <t>未获取</t>
        </is>
      </c>
      <c r="G15" s="5" t="inlineStr">
        <is>
          <t>⚠️费用明细待半年报</t>
        </is>
      </c>
    </row>
    <row r="16">
      <c r="A16" s="5" t="n">
        <v>14</v>
      </c>
      <c r="B16" s="5" t="inlineStr">
        <is>
          <t>权威媒体</t>
        </is>
      </c>
      <c r="C16" s="6" t="inlineStr">
        <is>
          <t>潮新闻（申报稿拆解）</t>
        </is>
      </c>
      <c r="D16" s="5" t="inlineStr">
        <is>
          <t>2026-03-20</t>
        </is>
      </c>
      <c r="E16" s="6" t="inlineStr">
        <is>
          <t>9M2025：扣非4.31亿、经营现金流4.28亿、境内7.02亿/境外4.53亿</t>
        </is>
      </c>
      <c r="F16" s="6" t="inlineStr">
        <is>
          <t>未获取</t>
        </is>
      </c>
      <c r="G16" s="5" t="inlineStr">
        <is>
          <t>✅</t>
        </is>
      </c>
    </row>
    <row r="17">
      <c r="A17" s="5" t="n">
        <v>15</v>
      </c>
      <c r="B17" s="5" t="inlineStr">
        <is>
          <t>权威媒体</t>
        </is>
      </c>
      <c r="C17" s="6" t="inlineStr">
        <is>
          <t>财联社（上市首日）</t>
        </is>
      </c>
      <c r="D17" s="5" t="inlineStr">
        <is>
          <t>2026-08-19</t>
        </is>
      </c>
      <c r="E17" s="6" t="inlineStr">
        <is>
          <t>上市首日+H1数据、王兴兴持股</t>
        </is>
      </c>
      <c r="F17" s="6" t="inlineStr">
        <is>
          <t>未获取</t>
        </is>
      </c>
      <c r="G17" s="5" t="inlineStr">
        <is>
          <t>✅</t>
        </is>
      </c>
    </row>
    <row r="18">
      <c r="A18" s="5" t="n">
        <v>16</v>
      </c>
      <c r="B18" s="5" t="inlineStr">
        <is>
          <t>权威媒体</t>
        </is>
      </c>
      <c r="C18" s="6" t="inlineStr">
        <is>
          <t>深蓝财经《宇树腰斩！6家上市机器人公司》</t>
        </is>
      </c>
      <c r="D18" s="5" t="inlineStr">
        <is>
          <t>2026-08-31</t>
        </is>
      </c>
      <c r="E18" s="6" t="inlineStr">
        <is>
          <t>中报盘点：H1营收11.52亿/归母2.74亿/扣非2.44亿、销售费+250%、研发费+152%</t>
        </is>
      </c>
      <c r="F18" s="6" t="inlineStr">
        <is>
          <t>未获取</t>
        </is>
      </c>
      <c r="G18" s="5" t="inlineStr">
        <is>
          <t>⚠️</t>
        </is>
      </c>
    </row>
    <row r="19">
      <c r="A19" s="5" t="n">
        <v>17</v>
      </c>
      <c r="B19" s="5" t="inlineStr">
        <is>
          <t>权威媒体</t>
        </is>
      </c>
      <c r="C19" s="6" t="inlineStr">
        <is>
          <t>人民财讯/中国财富网（上会稿报道）</t>
        </is>
      </c>
      <c r="D19" s="5" t="inlineStr">
        <is>
          <t>2026-05-25</t>
        </is>
      </c>
      <c r="E19" s="6" t="inlineStr">
        <is>
          <t>2026Q1精确值：营收42,284.05万/扣非4,025.36万（上年同期8,483.65万）</t>
        </is>
      </c>
      <c r="F19" s="6" t="inlineStr">
        <is>
          <t>未获取</t>
        </is>
      </c>
      <c r="G19" s="5" t="inlineStr">
        <is>
          <t>✅</t>
        </is>
      </c>
    </row>
    <row r="20">
      <c r="A20" s="5" t="n">
        <v>18</v>
      </c>
      <c r="B20" s="5" t="inlineStr">
        <is>
          <t>权威媒体</t>
        </is>
      </c>
      <c r="C20" s="6" t="inlineStr">
        <is>
          <t>经济观察网（上会前瞻）</t>
        </is>
      </c>
      <c r="D20" s="5" t="inlineStr">
        <is>
          <t>2026-05-26</t>
        </is>
      </c>
      <c r="E20" s="6" t="inlineStr">
        <is>
          <t>一次性股份支付34,906.55万元计入管理费用</t>
        </is>
      </c>
      <c r="F20" s="6" t="inlineStr">
        <is>
          <t>未获取</t>
        </is>
      </c>
      <c r="G20" s="5" t="inlineStr">
        <is>
          <t>✅</t>
        </is>
      </c>
    </row>
    <row r="21">
      <c r="A21" s="5" t="n">
        <v>19</v>
      </c>
      <c r="B21" s="5" t="inlineStr">
        <is>
          <t>权威媒体</t>
        </is>
      </c>
      <c r="C21" s="6" t="inlineStr">
        <is>
          <t>中国新闻网（IPO进程）</t>
        </is>
      </c>
      <c r="D21" s="5" t="inlineStr">
        <is>
          <t>2026-08-17</t>
        </is>
      </c>
      <c r="E21" s="6" t="inlineStr">
        <is>
          <t>受理3-20/过会6-01/注册7-02、发行市值609.93亿</t>
        </is>
      </c>
      <c r="F21" s="6" t="inlineStr">
        <is>
          <t>https://www.chinanews.com/cj/2026/08-17/10679306.shtml</t>
        </is>
      </c>
      <c r="G21" s="5" t="inlineStr">
        <is>
          <t>✅</t>
        </is>
      </c>
    </row>
    <row r="22">
      <c r="A22" s="5" t="n">
        <v>20</v>
      </c>
      <c r="B22" s="5" t="inlineStr">
        <is>
          <t>权威媒体</t>
        </is>
      </c>
      <c r="C22" s="6" t="inlineStr">
        <is>
          <t>中国经济网（上市后次日）</t>
        </is>
      </c>
      <c r="D22" s="5" t="inlineStr">
        <is>
          <t>2026-08-20</t>
        </is>
      </c>
      <c r="E22" s="6" t="inlineStr">
        <is>
          <t>次日收687元、募资净额59.17亿、超募17.15亿、发行费用18,217.31万</t>
        </is>
      </c>
      <c r="F22" s="6" t="inlineStr">
        <is>
          <t>https://cj.sina.com.cn/articles/view/1663612603/6328b6bb020022qbe</t>
        </is>
      </c>
      <c r="G22" s="5" t="inlineStr">
        <is>
          <t>✅</t>
        </is>
      </c>
    </row>
    <row r="23">
      <c r="A23" s="5" t="n">
        <v>21</v>
      </c>
      <c r="B23" s="5" t="inlineStr">
        <is>
          <t>权威媒体</t>
        </is>
      </c>
      <c r="C23" s="6" t="inlineStr">
        <is>
          <t>搜狐网/青岛日报（首日报道）</t>
        </is>
      </c>
      <c r="D23" s="5" t="inlineStr">
        <is>
          <t>2026-08-19</t>
        </is>
      </c>
      <c r="E23" s="6" t="inlineStr">
        <is>
          <t>首日收盘845元、市值3,417.72亿、换手85.28%</t>
        </is>
      </c>
      <c r="F23" s="6" t="inlineStr">
        <is>
          <t>https://www.sohu.com/a/1064955590_122014422</t>
        </is>
      </c>
      <c r="G23" s="5" t="inlineStr">
        <is>
          <t>✅</t>
        </is>
      </c>
    </row>
    <row r="24">
      <c r="A24" s="5" t="n">
        <v>22</v>
      </c>
      <c r="B24" s="5" t="inlineStr">
        <is>
          <t>深度拆解</t>
        </is>
      </c>
      <c r="C24" s="6" t="inlineStr">
        <is>
          <t>公司研究室（申报稿拆解）</t>
        </is>
      </c>
      <c r="D24" s="5" t="inlineStr">
        <is>
          <t>2026-03-20</t>
        </is>
      </c>
      <c r="E24" s="6" t="inlineStr">
        <is>
          <t>主营收入序列、境外4.53亿+179.88%、四足/人形收入与销量、2025Q3分产品毛利率</t>
        </is>
      </c>
      <c r="F24" s="6" t="inlineStr">
        <is>
          <t>未获取</t>
        </is>
      </c>
      <c r="G24" s="5" t="inlineStr">
        <is>
          <t>⚠️次级来源</t>
        </is>
      </c>
    </row>
    <row r="25">
      <c r="A25" s="5" t="n">
        <v>23</v>
      </c>
      <c r="B25" s="5" t="inlineStr">
        <is>
          <t>深度拆解</t>
        </is>
      </c>
      <c r="C25" s="6" t="inlineStr">
        <is>
          <t>机器人茶馆《我们都"小看"了王兴兴》</t>
        </is>
      </c>
      <c r="D25" s="5" t="inlineStr">
        <is>
          <t>2026-03-24</t>
        </is>
      </c>
      <c r="E25" s="6" t="inlineStr">
        <is>
          <t>9M2025销售费用7,600万/6.51%、员工480/研发175/销售142、人形毛利率87.67%→62.91%</t>
        </is>
      </c>
      <c r="F25" s="6" t="inlineStr">
        <is>
          <t>未获取</t>
        </is>
      </c>
      <c r="G25" s="5" t="inlineStr">
        <is>
          <t>⚠️次级来源</t>
        </is>
      </c>
    </row>
    <row r="26">
      <c r="A26" s="5" t="n">
        <v>24</v>
      </c>
      <c r="B26" s="5" t="inlineStr">
        <is>
          <t>深度拆解</t>
        </is>
      </c>
      <c r="C26" s="6" t="inlineStr">
        <is>
          <t>《拆解宇树科技：60%毛利背后》</t>
        </is>
      </c>
      <c r="D26" s="5" t="inlineStr">
        <is>
          <t>2026-03-26</t>
        </is>
      </c>
      <c r="E26" s="6" t="inlineStr">
        <is>
          <t>9M2025股份支付3.49亿、人形科研教育4.38亿/73.60%、存货超3亿</t>
        </is>
      </c>
      <c r="F26" s="6" t="inlineStr">
        <is>
          <t>未获取</t>
        </is>
      </c>
      <c r="G26" s="5" t="inlineStr">
        <is>
          <t>⚠️次级来源</t>
        </is>
      </c>
    </row>
    <row r="27">
      <c r="A27" s="5" t="n">
        <v>25</v>
      </c>
      <c r="B27" s="5" t="inlineStr">
        <is>
          <t>深度拆解</t>
        </is>
      </c>
      <c r="C27" s="6" t="inlineStr">
        <is>
          <t>芝能科技（上会稿拆解）</t>
        </is>
      </c>
      <c r="D27" s="5" t="inlineStr">
        <is>
          <t>2026-05-27</t>
        </is>
      </c>
      <c r="E27" s="6" t="inlineStr">
        <is>
          <t>人形2025年销量5,215台/收入8.68亿、2024年下游应用占比（待核验）</t>
        </is>
      </c>
      <c r="F27" s="6" t="inlineStr">
        <is>
          <t>未获取</t>
        </is>
      </c>
      <c r="G27" s="5" t="inlineStr">
        <is>
          <t>⚠️单一来源</t>
        </is>
      </c>
    </row>
    <row r="28">
      <c r="A28" s="5" t="n">
        <v>26</v>
      </c>
      <c r="B28" s="5" t="inlineStr">
        <is>
          <t>深度拆解</t>
        </is>
      </c>
      <c r="C28" s="6" t="inlineStr">
        <is>
          <t>猎聘《员工只有516人，宇树凭什么值600亿？》</t>
        </is>
      </c>
      <c r="D28" s="5" t="inlineStr">
        <is>
          <t>2026-08-12</t>
        </is>
      </c>
      <c r="E28" s="6" t="inlineStr">
        <is>
          <t>2025年末员工516人/研发184/销售154/生产123；2023年264人</t>
        </is>
      </c>
      <c r="F28" s="6" t="inlineStr">
        <is>
          <t>未获取</t>
        </is>
      </c>
      <c r="G28" s="5" t="inlineStr">
        <is>
          <t>⚠️单一来源</t>
        </is>
      </c>
    </row>
    <row r="29">
      <c r="A29" s="5" t="n">
        <v>27</v>
      </c>
      <c r="B29" s="5" t="inlineStr">
        <is>
          <t>深度拆解</t>
        </is>
      </c>
      <c r="C29" s="6" t="inlineStr">
        <is>
          <t>回款君（信用分析）</t>
        </is>
      </c>
      <c r="D29" s="5" t="inlineStr">
        <is>
          <t>2026-07-30</t>
        </is>
      </c>
      <c r="E29" s="6" t="inlineStr">
        <is>
          <t>2025年末应收账款0.62亿/合同负债1.37亿/应付账款2.45亿/周转率40.50次</t>
        </is>
      </c>
      <c r="F29" s="6" t="inlineStr">
        <is>
          <t>未获取</t>
        </is>
      </c>
      <c r="G29" s="5" t="inlineStr">
        <is>
          <t>⚠️单一来源</t>
        </is>
      </c>
    </row>
    <row r="30">
      <c r="A30" s="5" t="n">
        <v>28</v>
      </c>
      <c r="B30" s="5" t="inlineStr">
        <is>
          <t>管理层表态</t>
        </is>
      </c>
      <c r="C30" s="6" t="inlineStr">
        <is>
          <t>红星新闻/国新办中外记者见面会</t>
        </is>
      </c>
      <c r="D30" s="5" t="inlineStr">
        <is>
          <t>2025-07-15</t>
        </is>
      </c>
      <c r="E30" s="6" t="inlineStr">
        <is>
          <t>王兴兴：四足机器人占全球60%–70%销量份额</t>
        </is>
      </c>
      <c r="F30" s="6" t="inlineStr">
        <is>
          <t>未获取</t>
        </is>
      </c>
      <c r="G30" s="5" t="inlineStr">
        <is>
          <t>✅管理层表态</t>
        </is>
      </c>
    </row>
    <row r="31">
      <c r="A31" s="5" t="n">
        <v>29</v>
      </c>
      <c r="B31" s="5" t="inlineStr">
        <is>
          <t>官方声明</t>
        </is>
      </c>
      <c r="C31" s="6" t="inlineStr">
        <is>
          <t>宇树科技官方声明（X平台，腾讯新闻转载）</t>
        </is>
      </c>
      <c r="D31" s="5" t="inlineStr">
        <is>
          <t>2025-09-02</t>
        </is>
      </c>
      <c r="E31" s="6" t="inlineStr">
        <is>
          <t>2024年收入结构：四足65%/人形30%/组件5%</t>
        </is>
      </c>
      <c r="F31" s="6" t="inlineStr">
        <is>
          <t>https://news.qq.com/rain/a/20250902A06JX600</t>
        </is>
      </c>
      <c r="G31" s="5" t="inlineStr">
        <is>
          <t>✅官方</t>
        </is>
      </c>
    </row>
    <row r="32">
      <c r="A32" s="5" t="n">
        <v>30</v>
      </c>
      <c r="B32" s="5" t="inlineStr">
        <is>
          <t>机构数据</t>
        </is>
      </c>
      <c r="C32" s="6" t="inlineStr">
        <is>
          <t>彭博社/SAG《2026上半年全球人形机器人出货1.91万台》</t>
        </is>
      </c>
      <c r="D32" s="5" t="inlineStr">
        <is>
          <t>2026-08-10</t>
        </is>
      </c>
      <c r="E32" s="6" t="inlineStr">
        <is>
          <t>2026H1全球出货1.91万台、中国厂商占97%+；宇树5,900台被智元反超（第三方口径）</t>
        </is>
      </c>
      <c r="F32" s="6" t="inlineStr">
        <is>
          <t>未获取</t>
        </is>
      </c>
      <c r="G32" s="5" t="inlineStr">
        <is>
          <t>⚠️机构口径差异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3" customWidth="1" min="3" max="3"/>
    <col width="15" customWidth="1" min="4" max="4"/>
    <col width="13" customWidth="1" min="5" max="5"/>
    <col width="17" customWidth="1" min="6" max="6"/>
    <col width="20" customWidth="1" min="7" max="7"/>
    <col width="55" customWidth="1" min="8" max="8"/>
  </cols>
  <sheetData>
    <row r="1">
      <c r="A1" s="1" t="inlineStr">
        <is>
          <t>原始数据_财务（数据块A–F；金额单位：万元人民币）</t>
        </is>
      </c>
    </row>
    <row r="3">
      <c r="A3" s="7" t="inlineStr">
        <is>
          <t>数据块A：利润表关键数据（单位：万元）</t>
        </is>
      </c>
    </row>
    <row r="4">
      <c r="A4" s="4" t="inlineStr">
        <is>
          <t>指标</t>
        </is>
      </c>
      <c r="B4" s="4" t="inlineStr">
        <is>
          <t>2022年度</t>
        </is>
      </c>
      <c r="C4" s="4" t="inlineStr">
        <is>
          <t>2023年度</t>
        </is>
      </c>
      <c r="D4" s="4" t="inlineStr">
        <is>
          <t>2024年度</t>
        </is>
      </c>
      <c r="E4" s="4" t="inlineStr">
        <is>
          <t>2025年度</t>
        </is>
      </c>
      <c r="F4" s="4" t="inlineStr">
        <is>
          <t>2026年1-6月</t>
        </is>
      </c>
      <c r="G4" s="4" t="inlineStr">
        <is>
          <t>口径/版本</t>
        </is>
      </c>
      <c r="H4" s="4" t="inlineStr">
        <is>
          <t>备注</t>
        </is>
      </c>
    </row>
    <row r="5">
      <c r="A5" s="5" t="inlineStr">
        <is>
          <t>营业收入</t>
        </is>
      </c>
      <c r="B5" s="8" t="n">
        <v>12300</v>
      </c>
      <c r="C5" s="8" t="n">
        <v>15913.44</v>
      </c>
      <c r="D5" s="8" t="n">
        <v>39276.6</v>
      </c>
      <c r="E5" s="8" t="n">
        <v>169926.93</v>
      </c>
      <c r="F5" s="8" t="n">
        <v>115200</v>
      </c>
      <c r="G5" s="6" t="inlineStr">
        <is>
          <t>注册稿为主</t>
        </is>
      </c>
      <c r="H5" s="6" t="inlineStr">
        <is>
          <t>2022约（主营12,100约）；2024由2025年+332.64%倒算⚠️（申报稿审计值39,237.06）；2026H1约（披露11.52亿，+48.54%）</t>
        </is>
      </c>
    </row>
    <row r="6">
      <c r="A6" s="5" t="inlineStr">
        <is>
          <t>归母净利润</t>
        </is>
      </c>
      <c r="B6" s="8" t="n">
        <v>-2210.05</v>
      </c>
      <c r="C6" s="8" t="n">
        <v>-1114.51</v>
      </c>
      <c r="D6" s="8" t="n">
        <v>9547.469999999999</v>
      </c>
      <c r="E6" s="8" t="n">
        <v>27821.05</v>
      </c>
      <c r="F6" s="8" t="n">
        <v>27400</v>
      </c>
      <c r="G6" s="6" t="inlineStr">
        <is>
          <t>注册稿为主</t>
        </is>
      </c>
      <c r="H6" s="6" t="inlineStr">
        <is>
          <t>2024申报稿9,450.18；2026H1约（披露2.74亿；上年同期-3,202.45）</t>
        </is>
      </c>
    </row>
    <row r="7">
      <c r="A7" s="5" t="inlineStr">
        <is>
          <t>扣非归母净利润</t>
        </is>
      </c>
      <c r="B7" s="8" t="n">
        <v>-807</v>
      </c>
      <c r="C7" s="8" t="n">
        <v>-1801.91</v>
      </c>
      <c r="D7" s="8" t="n">
        <v>7847.65</v>
      </c>
      <c r="E7" s="8" t="n">
        <v>59075.28</v>
      </c>
      <c r="F7" s="8" t="n">
        <v>24400</v>
      </c>
      <c r="G7" s="6" t="inlineStr">
        <is>
          <t>注册稿为主</t>
        </is>
      </c>
      <c r="H7" s="6" t="inlineStr">
        <is>
          <t>2022约；2024申报稿约7,750；2026H1约（披露2.44亿，-19.34%）</t>
        </is>
      </c>
    </row>
    <row r="8">
      <c r="A8" s="5" t="inlineStr">
        <is>
          <t>主营业务毛利率</t>
        </is>
      </c>
      <c r="B8" s="9" t="n">
        <v>0.4418</v>
      </c>
      <c r="C8" s="9" t="n">
        <v>0.4422</v>
      </c>
      <c r="D8" s="9" t="n">
        <v>0.5674</v>
      </c>
      <c r="E8" s="9" t="n">
        <v>0.6012999999999999</v>
      </c>
      <c r="F8" s="9" t="n">
        <v>0.5601</v>
      </c>
      <c r="G8" s="6" t="inlineStr">
        <is>
          <t>注册稿为主</t>
        </is>
      </c>
      <c r="H8" s="6" t="inlineStr">
        <is>
          <t>2022/2024申报稿44.18%/56.41%；2025申报稿经审阅60.27%；2026H1为综合毛利率⚠️单一来源</t>
        </is>
      </c>
    </row>
    <row r="9">
      <c r="A9" s="5" t="inlineStr">
        <is>
          <t>研发费用</t>
        </is>
      </c>
      <c r="B9" s="8" t="n">
        <v>2998.48</v>
      </c>
      <c r="C9" s="8" t="n">
        <v>4995.18</v>
      </c>
      <c r="D9" s="8" t="n">
        <v>7001.7</v>
      </c>
      <c r="E9" s="8" t="n">
        <v>14500</v>
      </c>
      <c r="F9" s="8" t="n">
        <v>13600</v>
      </c>
      <c r="G9" s="6" t="inlineStr">
        <is>
          <t>申报稿精确值+披露约数</t>
        </is>
      </c>
      <c r="H9" s="6" t="inlineStr">
        <is>
          <t>2025约（披露1.45亿，+107%）；2026H1约（披露1.36亿，同比+8,203.74）</t>
        </is>
      </c>
    </row>
    <row r="10">
      <c r="A10" s="5" t="inlineStr">
        <is>
          <t>研发费用率</t>
        </is>
      </c>
      <c r="B10" s="9" t="n">
        <v>0.2439</v>
      </c>
      <c r="C10" s="9" t="n">
        <v>0.3139</v>
      </c>
      <c r="D10" s="9" t="n">
        <v>0.1784</v>
      </c>
      <c r="E10" s="9" t="n">
        <v>0.0853</v>
      </c>
      <c r="F10" s="9" t="n">
        <v>0.118</v>
      </c>
      <c r="G10" s="6" t="inlineStr">
        <is>
          <t>披露值</t>
        </is>
      </c>
      <c r="H10" s="6" t="inlineStr">
        <is>
          <t>2026H1约11.8%为倒算⚠️</t>
        </is>
      </c>
    </row>
    <row r="11">
      <c r="A11" s="5" t="inlineStr">
        <is>
          <t>经营活动现金流净额</t>
        </is>
      </c>
      <c r="B11" s="8" t="n">
        <v>-3019.73</v>
      </c>
      <c r="C11" s="8" t="n">
        <v>494.25</v>
      </c>
      <c r="D11" s="8" t="n">
        <v>19200</v>
      </c>
      <c r="E11" s="8" t="n">
        <v>67000</v>
      </c>
      <c r="F11" s="5" t="inlineStr">
        <is>
          <t>未披露</t>
        </is>
      </c>
      <c r="G11" s="6" t="inlineStr">
        <is>
          <t>申报稿/上会稿</t>
        </is>
      </c>
      <c r="H11" s="6" t="inlineStr">
        <is>
          <t>2022/2023⚠️单一来源；2024约（披露1.92亿）✅；2025约（披露6.70亿，+248.24%）✅；2026Q1为3,439.96⚠️</t>
        </is>
      </c>
    </row>
    <row r="13">
      <c r="A13" s="7" t="inlineStr">
        <is>
          <t>补充数据（申报稿/上会稿/上市公告书口径，单位：万元）</t>
        </is>
      </c>
    </row>
    <row r="14">
      <c r="A14" s="4" t="inlineStr">
        <is>
          <t>指标</t>
        </is>
      </c>
      <c r="B14" s="4" t="inlineStr">
        <is>
          <t>数值</t>
        </is>
      </c>
      <c r="C14" s="4" t="inlineStr">
        <is>
          <t>同比/对照</t>
        </is>
      </c>
      <c r="D14" s="4" t="inlineStr">
        <is>
          <t>备注</t>
        </is>
      </c>
    </row>
    <row r="15">
      <c r="A15" s="5" t="inlineStr">
        <is>
          <t>2025年1-9月营业收入（申报稿）</t>
        </is>
      </c>
      <c r="B15" s="10" t="n">
        <v>116700</v>
      </c>
      <c r="C15" s="5" t="inlineStr"/>
      <c r="D15" s="6" t="inlineStr">
        <is>
          <t>约</t>
        </is>
      </c>
    </row>
    <row r="16">
      <c r="A16" s="5" t="inlineStr">
        <is>
          <t>2025年1-9月归母净利润（申报稿）</t>
        </is>
      </c>
      <c r="B16" s="10" t="n">
        <v>10500</v>
      </c>
      <c r="C16" s="5" t="inlineStr"/>
      <c r="D16" s="6" t="inlineStr">
        <is>
          <t>约</t>
        </is>
      </c>
    </row>
    <row r="17">
      <c r="A17" s="5" t="inlineStr">
        <is>
          <t>2025年1-9月扣非归母净利润（申报稿）</t>
        </is>
      </c>
      <c r="B17" s="10" t="n">
        <v>43100</v>
      </c>
      <c r="C17" s="5" t="inlineStr"/>
      <c r="D17" s="6" t="inlineStr">
        <is>
          <t>约</t>
        </is>
      </c>
    </row>
    <row r="18">
      <c r="A18" s="5" t="inlineStr">
        <is>
          <t>2025年1-9月经营现金流净额（申报稿）</t>
        </is>
      </c>
      <c r="B18" s="10" t="n">
        <v>42800</v>
      </c>
      <c r="C18" s="5" t="inlineStr"/>
      <c r="D18" s="6" t="inlineStr">
        <is>
          <t>约✅多源</t>
        </is>
      </c>
    </row>
    <row r="19">
      <c r="A19" s="5" t="inlineStr">
        <is>
          <t>2026年1-3月营业收入（经审阅）</t>
        </is>
      </c>
      <c r="B19" s="8" t="n">
        <v>42284.05</v>
      </c>
      <c r="C19" s="5" t="inlineStr">
        <is>
          <t>+68.49%</t>
        </is>
      </c>
      <c r="D19" s="6" t="inlineStr">
        <is>
          <t>✅多源</t>
        </is>
      </c>
    </row>
    <row r="20">
      <c r="A20" s="5" t="inlineStr">
        <is>
          <t>2026年1-3月扣非归母净利润（经审阅）</t>
        </is>
      </c>
      <c r="B20" s="8" t="n">
        <v>4025.36</v>
      </c>
      <c r="C20" s="6" t="inlineStr">
        <is>
          <t>-52.55%（上年同期8,483.65）</t>
        </is>
      </c>
      <c r="D20" s="6" t="inlineStr">
        <is>
          <t>✅多源</t>
        </is>
      </c>
    </row>
    <row r="21">
      <c r="A21" s="5" t="inlineStr">
        <is>
          <t>2025年一次性股份支付费用</t>
        </is>
      </c>
      <c r="B21" s="8" t="n">
        <v>34906.55</v>
      </c>
      <c r="C21" s="5" t="inlineStr"/>
      <c r="D21" s="6" t="inlineStr">
        <is>
          <t>全额计入管理费用且列为非经常性损益✅</t>
        </is>
      </c>
    </row>
    <row r="22">
      <c r="A22" s="5" t="inlineStr">
        <is>
          <t>2025年1-6月归母净利润（回溯）</t>
        </is>
      </c>
      <c r="B22" s="8" t="n">
        <v>-3202.45</v>
      </c>
      <c r="C22" s="5" t="inlineStr"/>
      <c r="D22" s="6" t="inlineStr">
        <is>
          <t>上市公告书转述✅</t>
        </is>
      </c>
    </row>
    <row r="23">
      <c r="A23" s="5" t="inlineStr">
        <is>
          <t>2026年1-3月经营现金流净额</t>
        </is>
      </c>
      <c r="B23" s="8" t="n">
        <v>3439.96</v>
      </c>
      <c r="C23" s="5" t="inlineStr">
        <is>
          <t>-85.65%</t>
        </is>
      </c>
      <c r="D23" s="6" t="inlineStr">
        <is>
          <t>⚠️单一来源（精确）</t>
        </is>
      </c>
    </row>
    <row r="24">
      <c r="A24" s="11" t="inlineStr">
        <is>
          <t>注：2025年非经常性损益约-31,254（=归母27,821.05-扣非59,075.28，倒算），主因一次性股份支付34,906.55。主营业务收入同比增速（申报稿）：2023年+29.95%、2024年+145.83%、2025年+335.31%；注册稿营收口径2025年+332.64%。</t>
        </is>
      </c>
    </row>
    <row r="26">
      <c r="A26" s="7" t="inlineStr">
        <is>
          <t>数据块B：分产品收入（注册稿，✅双源；单位：万元）</t>
        </is>
      </c>
    </row>
    <row r="27">
      <c r="A27" s="4" t="inlineStr">
        <is>
          <t>产品</t>
        </is>
      </c>
      <c r="B27" s="4" t="inlineStr">
        <is>
          <t>2023收入</t>
        </is>
      </c>
      <c r="C27" s="4" t="inlineStr">
        <is>
          <t>2023占比</t>
        </is>
      </c>
      <c r="D27" s="4" t="inlineStr">
        <is>
          <t>2024收入</t>
        </is>
      </c>
      <c r="E27" s="4" t="inlineStr">
        <is>
          <t>2024占比</t>
        </is>
      </c>
      <c r="F27" s="4" t="inlineStr">
        <is>
          <t>2025收入</t>
        </is>
      </c>
      <c r="G27" s="4" t="inlineStr">
        <is>
          <t>2025占比</t>
        </is>
      </c>
      <c r="H27" s="4" t="inlineStr">
        <is>
          <t>备注</t>
        </is>
      </c>
    </row>
    <row r="28">
      <c r="A28" s="5" t="inlineStr">
        <is>
          <t>四足机器人</t>
        </is>
      </c>
      <c r="B28" s="8" t="n">
        <v>11900</v>
      </c>
      <c r="C28" s="9" t="n">
        <v>0.7578</v>
      </c>
      <c r="D28" s="8" t="n">
        <v>23100</v>
      </c>
      <c r="E28" s="9" t="n">
        <v>0.5947</v>
      </c>
      <c r="F28" s="8" t="n">
        <v>69800</v>
      </c>
      <c r="G28" s="9" t="n">
        <v>0.4162</v>
      </c>
      <c r="H28" s="6" t="inlineStr">
        <is>
          <t>约数（披露1.19亿/2.31亿/6.98亿）</t>
        </is>
      </c>
    </row>
    <row r="29">
      <c r="A29" s="5" t="inlineStr">
        <is>
          <t>人形机器人</t>
        </is>
      </c>
      <c r="B29" s="8" t="n">
        <v>296.71</v>
      </c>
      <c r="C29" s="9" t="n">
        <v>0.0188</v>
      </c>
      <c r="D29" s="8" t="n">
        <v>10700</v>
      </c>
      <c r="E29" s="9" t="n">
        <v>0.2768</v>
      </c>
      <c r="F29" s="8" t="n">
        <v>86800</v>
      </c>
      <c r="G29" s="9" t="n">
        <v>0.5178</v>
      </c>
      <c r="H29" s="6" t="inlineStr">
        <is>
          <t>2023精确；2024/2025约（披露1.07亿/8.68亿）</t>
        </is>
      </c>
    </row>
    <row r="30">
      <c r="A30" s="5" t="inlineStr">
        <is>
          <t>组件及其他</t>
        </is>
      </c>
      <c r="B30" s="8" t="n">
        <v>3500</v>
      </c>
      <c r="C30" s="9" t="n">
        <v>0.223</v>
      </c>
      <c r="D30" s="8" t="n">
        <v>5000</v>
      </c>
      <c r="E30" s="9" t="n">
        <v>0.129</v>
      </c>
      <c r="F30" s="8" t="n">
        <v>11100</v>
      </c>
      <c r="G30" s="9" t="n">
        <v>0.066</v>
      </c>
      <c r="H30" s="6" t="inlineStr">
        <is>
          <t>⚠️倒算（约）</t>
        </is>
      </c>
    </row>
    <row r="31">
      <c r="A31" s="5" t="inlineStr">
        <is>
          <t>主营业务收入（合计）</t>
        </is>
      </c>
      <c r="B31" s="8" t="n">
        <v>15700</v>
      </c>
      <c r="C31" s="9" t="n">
        <v>1</v>
      </c>
      <c r="D31" s="8" t="n">
        <v>38800</v>
      </c>
      <c r="E31" s="9" t="n">
        <v>1</v>
      </c>
      <c r="F31" s="8" t="n">
        <v>167700</v>
      </c>
      <c r="G31" s="9" t="n">
        <v>1</v>
      </c>
      <c r="H31" s="6" t="inlineStr">
        <is>
          <t>⚠️倒算（约）</t>
        </is>
      </c>
    </row>
    <row r="32">
      <c r="A32" s="5" t="inlineStr">
        <is>
          <t>9M2025人形机器人收入（申报稿）</t>
        </is>
      </c>
      <c r="B32" s="8" t="n">
        <v>59500</v>
      </c>
      <c r="C32" s="9" t="n">
        <v>0.5153</v>
      </c>
      <c r="D32" s="5" t="n"/>
      <c r="E32" s="5" t="n"/>
      <c r="F32" s="5" t="n"/>
      <c r="G32" s="5" t="n"/>
      <c r="H32" s="6" t="inlineStr">
        <is>
          <t>✅多源</t>
        </is>
      </c>
    </row>
    <row r="33">
      <c r="A33" s="5" t="inlineStr">
        <is>
          <t>9M2025四足机器人收入（申报稿）</t>
        </is>
      </c>
      <c r="B33" s="8" t="n">
        <v>48800</v>
      </c>
      <c r="C33" s="9" t="n">
        <v>0.4225</v>
      </c>
      <c r="D33" s="5" t="n"/>
      <c r="E33" s="5" t="n"/>
      <c r="F33" s="5" t="n"/>
      <c r="G33" s="5" t="n"/>
      <c r="H33" s="6" t="inlineStr">
        <is>
          <t>✅多源</t>
        </is>
      </c>
    </row>
    <row r="34">
      <c r="A34" s="5" t="inlineStr">
        <is>
          <t>9M2025组件及其他收入（申报稿）</t>
        </is>
      </c>
      <c r="B34" s="8" t="n">
        <v>6700</v>
      </c>
      <c r="C34" s="9" t="n">
        <v>0.058</v>
      </c>
      <c r="D34" s="5" t="n"/>
      <c r="E34" s="5" t="n"/>
      <c r="F34" s="5" t="n"/>
      <c r="G34" s="5" t="n"/>
      <c r="H34" s="6" t="inlineStr">
        <is>
          <t>约5.8%</t>
        </is>
      </c>
    </row>
    <row r="36">
      <c r="A36" s="7" t="inlineStr">
        <is>
          <t>数据块C：分地区收入（申报稿，主营业务收入；单位：万元）</t>
        </is>
      </c>
    </row>
    <row r="37">
      <c r="A37" s="4" t="inlineStr">
        <is>
          <t>报告期</t>
        </is>
      </c>
      <c r="B37" s="4" t="inlineStr">
        <is>
          <t>境外收入</t>
        </is>
      </c>
      <c r="C37" s="4" t="inlineStr">
        <is>
          <t>境外占比</t>
        </is>
      </c>
      <c r="D37" s="4" t="inlineStr">
        <is>
          <t>境内收入</t>
        </is>
      </c>
      <c r="E37" s="4" t="inlineStr">
        <is>
          <t>境内占比</t>
        </is>
      </c>
      <c r="F37" s="4" t="inlineStr">
        <is>
          <t>备注</t>
        </is>
      </c>
    </row>
    <row r="38">
      <c r="A38" s="5" t="inlineStr">
        <is>
          <t>2022年度</t>
        </is>
      </c>
      <c r="B38" s="8" t="n">
        <v>6935.28</v>
      </c>
      <c r="C38" s="9" t="n">
        <v>0.5721000000000001</v>
      </c>
      <c r="D38" s="5" t="n"/>
      <c r="E38" s="5" t="n"/>
      <c r="F38" s="6" t="inlineStr">
        <is>
          <t>✅</t>
        </is>
      </c>
    </row>
    <row r="39">
      <c r="A39" s="5" t="inlineStr">
        <is>
          <t>2023年度</t>
        </is>
      </c>
      <c r="B39" s="8" t="n">
        <v>8764.24</v>
      </c>
      <c r="C39" s="9" t="n">
        <v>0.5563</v>
      </c>
      <c r="D39" s="5" t="n"/>
      <c r="E39" s="5" t="n"/>
      <c r="F39" s="6" t="inlineStr">
        <is>
          <t>✅</t>
        </is>
      </c>
    </row>
    <row r="40">
      <c r="A40" s="5" t="inlineStr">
        <is>
          <t>2024年度</t>
        </is>
      </c>
      <c r="B40" s="8" t="n">
        <v>21600</v>
      </c>
      <c r="C40" s="9" t="n">
        <v>0.5570000000000001</v>
      </c>
      <c r="D40" s="5" t="n"/>
      <c r="E40" s="5" t="n"/>
      <c r="F40" s="6" t="inlineStr">
        <is>
          <t>约✅</t>
        </is>
      </c>
    </row>
    <row r="41">
      <c r="A41" s="5" t="inlineStr">
        <is>
          <t>2025年1-9月</t>
        </is>
      </c>
      <c r="B41" s="8" t="n">
        <v>45300</v>
      </c>
      <c r="C41" s="9" t="n">
        <v>0.392</v>
      </c>
      <c r="D41" s="8" t="n">
        <v>70200</v>
      </c>
      <c r="E41" s="9" t="n">
        <v>0.608</v>
      </c>
      <c r="F41" s="6" t="inlineStr">
        <is>
          <t>境外+179.88%、境内+445.69%✅</t>
        </is>
      </c>
    </row>
    <row r="42">
      <c r="A42" s="5" t="inlineStr">
        <is>
          <t>2025全年</t>
        </is>
      </c>
      <c r="B42" s="6" t="inlineStr">
        <is>
          <t>⚠️一说73,200（43.65%）</t>
        </is>
      </c>
      <c r="C42" s="5" t="n"/>
      <c r="D42" s="5" t="n"/>
      <c r="E42" s="5" t="n"/>
      <c r="F42" s="6" t="inlineStr">
        <is>
          <t>与"同比+109.91%"自相矛盾，不纳入计算，列待核验</t>
        </is>
      </c>
    </row>
    <row r="43">
      <c r="A43" s="5" t="inlineStr">
        <is>
          <t>补充：2025年美国市场收入占比</t>
        </is>
      </c>
      <c r="B43" s="9" t="n">
        <v>0.133</v>
      </c>
      <c r="C43" s="5" t="n"/>
      <c r="D43" s="5" t="n"/>
      <c r="E43" s="5" t="n"/>
      <c r="F43" s="6" t="inlineStr">
        <is>
          <t>⚠️单一来源（称出自招股意向书风险章节）待核验</t>
        </is>
      </c>
    </row>
    <row r="44">
      <c r="A44" s="5" t="inlineStr">
        <is>
          <t>补充：2025年前五大客户合计</t>
        </is>
      </c>
      <c r="B44" s="8" t="n">
        <v>20500</v>
      </c>
      <c r="C44" s="9" t="n">
        <v>0.1209</v>
      </c>
      <c r="D44" s="5" t="n"/>
      <c r="E44" s="5" t="n"/>
      <c r="F44" s="6" t="inlineStr">
        <is>
          <t>⚠️单一来源（京东4,887等）</t>
        </is>
      </c>
    </row>
    <row r="46">
      <c r="A46" s="7" t="inlineStr">
        <is>
          <t>数据块D：销量与单价（申报稿✅；另注官方口径）</t>
        </is>
      </c>
    </row>
    <row r="47">
      <c r="A47" s="4" t="inlineStr">
        <is>
          <t>指标</t>
        </is>
      </c>
      <c r="B47" s="4" t="inlineStr">
        <is>
          <t>2022</t>
        </is>
      </c>
      <c r="C47" s="4" t="inlineStr">
        <is>
          <t>2023</t>
        </is>
      </c>
      <c r="D47" s="4" t="inlineStr">
        <is>
          <t>2024</t>
        </is>
      </c>
      <c r="E47" s="4" t="inlineStr">
        <is>
          <t>2025年1-9月</t>
        </is>
      </c>
      <c r="F47" s="4" t="inlineStr">
        <is>
          <t>2025全年</t>
        </is>
      </c>
      <c r="G47" s="4" t="inlineStr">
        <is>
          <t>备注</t>
        </is>
      </c>
    </row>
    <row r="48">
      <c r="A48" s="5" t="inlineStr">
        <is>
          <t>四足销量（台）</t>
        </is>
      </c>
      <c r="B48" s="12" t="n">
        <v>2403</v>
      </c>
      <c r="C48" s="12" t="n">
        <v>3121</v>
      </c>
      <c r="D48" s="12" t="n">
        <v>7136</v>
      </c>
      <c r="E48" s="12" t="n">
        <v>17946</v>
      </c>
      <c r="F48" s="12" t="n">
        <v>25500</v>
      </c>
      <c r="G48" s="6" t="inlineStr">
        <is>
          <t>2025全年约⚠️单一来源；报告期累计超3万台、截至2025年末超3.3万台✅</t>
        </is>
      </c>
    </row>
    <row r="49">
      <c r="A49" s="5" t="inlineStr">
        <is>
          <t>人形销量（台）</t>
        </is>
      </c>
      <c r="B49" s="5" t="n"/>
      <c r="C49" s="12" t="n">
        <v>5</v>
      </c>
      <c r="D49" s="12" t="n">
        <v>410</v>
      </c>
      <c r="E49" s="12" t="n">
        <v>3551</v>
      </c>
      <c r="F49" s="12" t="n">
        <v>5215</v>
      </c>
      <c r="G49" s="6" t="inlineStr">
        <is>
          <t>2025全年5,215台⚠️芝能科技待核验；官方出货量口径：超5,500台、全球第一✅</t>
        </is>
      </c>
    </row>
    <row r="50">
      <c r="A50" s="5" t="inlineStr">
        <is>
          <t>人形平均单价（万元/台）</t>
        </is>
      </c>
      <c r="B50" s="5" t="n"/>
      <c r="C50" s="13" t="n">
        <v>59.34</v>
      </c>
      <c r="D50" s="13" t="n">
        <v>26.07</v>
      </c>
      <c r="E50" s="13" t="n">
        <v>16.76</v>
      </c>
      <c r="F50" s="5" t="n"/>
      <c r="G50" s="6" t="inlineStr">
        <is>
          <t>以价换量：两年降超40万元</t>
        </is>
      </c>
    </row>
    <row r="51">
      <c r="A51" s="5" t="inlineStr">
        <is>
          <t>四足平均单价（万元/台）</t>
        </is>
      </c>
      <c r="B51" s="13" t="n">
        <v>3.86</v>
      </c>
      <c r="C51" s="5" t="n"/>
      <c r="D51" s="5" t="n"/>
      <c r="E51" s="13" t="n">
        <v>2.72</v>
      </c>
      <c r="F51" s="5" t="n"/>
      <c r="G51" s="6" t="inlineStr"/>
    </row>
    <row r="52">
      <c r="A52" s="11" t="inlineStr">
        <is>
          <t>市占率：四足全球销量份额60%–70%（王兴兴2025-07-15国新办表态✅）；GGII 2023年销量份额69.75%（机构数据）；人形2025年出货超5,500台全球第一、份额32.4%（赛迪顾问✅）。第三方口径差异（Omdia 4,200台/Counterpoint 26.4%）见「待核验事项」。</t>
        </is>
      </c>
    </row>
    <row r="54">
      <c r="A54" s="7" t="inlineStr">
        <is>
          <t>数据块E：资产负债（2025年末，申报稿口径；⚠️均为长江商报单一来源）</t>
        </is>
      </c>
    </row>
    <row r="55">
      <c r="A55" s="4" t="inlineStr">
        <is>
          <t>指标</t>
        </is>
      </c>
      <c r="B55" s="4" t="inlineStr">
        <is>
          <t>2025年末</t>
        </is>
      </c>
      <c r="C55" s="4" t="inlineStr">
        <is>
          <t>同比</t>
        </is>
      </c>
      <c r="D55" s="4" t="inlineStr">
        <is>
          <t>备注</t>
        </is>
      </c>
    </row>
    <row r="56">
      <c r="A56" s="5" t="inlineStr">
        <is>
          <t>总资产</t>
        </is>
      </c>
      <c r="B56" s="10" t="n">
        <v>321500</v>
      </c>
      <c r="C56" s="5" t="inlineStr">
        <is>
          <t>+110.55%</t>
        </is>
      </c>
      <c r="D56" s="6" t="inlineStr">
        <is>
          <t>⚠️待核验</t>
        </is>
      </c>
    </row>
    <row r="57">
      <c r="A57" s="5" t="inlineStr">
        <is>
          <t>总负债</t>
        </is>
      </c>
      <c r="B57" s="10" t="n">
        <v>60200</v>
      </c>
      <c r="C57" s="5" t="inlineStr">
        <is>
          <t>+143.36%</t>
        </is>
      </c>
      <c r="D57" s="6" t="inlineStr">
        <is>
          <t>⚠️待核验</t>
        </is>
      </c>
    </row>
    <row r="58">
      <c r="A58" s="5" t="inlineStr">
        <is>
          <t>所有者权益</t>
        </is>
      </c>
      <c r="B58" s="10" t="n">
        <v>261300</v>
      </c>
      <c r="C58" s="5" t="inlineStr">
        <is>
          <t>+104.21%</t>
        </is>
      </c>
      <c r="D58" s="6" t="inlineStr">
        <is>
          <t>⚠️待核验</t>
        </is>
      </c>
    </row>
    <row r="59">
      <c r="A59" s="5" t="inlineStr">
        <is>
          <t>应收账款</t>
        </is>
      </c>
      <c r="B59" s="10" t="n">
        <v>6200</v>
      </c>
      <c r="C59" s="6" t="inlineStr">
        <is>
          <t>周转率40.50次</t>
        </is>
      </c>
      <c r="D59" s="6" t="inlineStr">
        <is>
          <t>约⚠️待核验</t>
        </is>
      </c>
    </row>
    <row r="60">
      <c r="A60" s="5" t="inlineStr">
        <is>
          <t>合同负债</t>
        </is>
      </c>
      <c r="B60" s="10" t="n">
        <v>13700</v>
      </c>
      <c r="C60" s="5" t="inlineStr"/>
      <c r="D60" s="6" t="inlineStr">
        <is>
          <t>约⚠️待核验</t>
        </is>
      </c>
    </row>
    <row r="61">
      <c r="A61" s="5" t="inlineStr">
        <is>
          <t>应付账款</t>
        </is>
      </c>
      <c r="B61" s="10" t="n">
        <v>24500</v>
      </c>
      <c r="C61" s="5" t="inlineStr"/>
      <c r="D61" s="6" t="inlineStr">
        <is>
          <t>约⚠️待核验</t>
        </is>
      </c>
    </row>
    <row r="62">
      <c r="A62" s="5" t="inlineStr">
        <is>
          <t>存货（2025年9月末）</t>
        </is>
      </c>
      <c r="B62" s="10" t="n">
        <v>30000</v>
      </c>
      <c r="C62" s="5" t="inlineStr"/>
      <c r="D62" s="6" t="inlineStr">
        <is>
          <t>超30,000，约⚠️待核验</t>
        </is>
      </c>
    </row>
    <row r="64">
      <c r="A64" s="7" t="inlineStr">
        <is>
          <t>数据块F：员工与研发人员</t>
        </is>
      </c>
    </row>
    <row r="65">
      <c r="A65" s="4" t="inlineStr">
        <is>
          <t>时点</t>
        </is>
      </c>
      <c r="B65" s="4" t="inlineStr">
        <is>
          <t>员工总数（人）</t>
        </is>
      </c>
      <c r="C65" s="4" t="inlineStr">
        <is>
          <t>研发人员（人）</t>
        </is>
      </c>
      <c r="D65" s="4" t="inlineStr">
        <is>
          <t>研发占比</t>
        </is>
      </c>
      <c r="E65" s="4" t="inlineStr">
        <is>
          <t>销售人员（人）</t>
        </is>
      </c>
      <c r="F65" s="4" t="inlineStr">
        <is>
          <t>生产人员（人）</t>
        </is>
      </c>
      <c r="G65" s="4" t="inlineStr">
        <is>
          <t>备注</t>
        </is>
      </c>
    </row>
    <row r="66">
      <c r="A66" s="5" t="inlineStr">
        <is>
          <t>2023年末</t>
        </is>
      </c>
      <c r="B66" s="12" t="n">
        <v>264</v>
      </c>
      <c r="C66" s="5" t="n"/>
      <c r="D66" s="5" t="n"/>
      <c r="E66" s="5" t="n"/>
      <c r="F66" s="5" t="n"/>
      <c r="G66" s="6" t="inlineStr">
        <is>
          <t>⚠️猎聘单一来源</t>
        </is>
      </c>
    </row>
    <row r="67">
      <c r="A67" s="5" t="inlineStr">
        <is>
          <t>2025-09-30</t>
        </is>
      </c>
      <c r="B67" s="12" t="n">
        <v>480</v>
      </c>
      <c r="C67" s="12" t="n">
        <v>175</v>
      </c>
      <c r="D67" s="9" t="n">
        <v>0.3646</v>
      </c>
      <c r="E67" s="12" t="n">
        <v>142</v>
      </c>
      <c r="F67" s="5" t="n"/>
      <c r="G67" s="6" t="inlineStr">
        <is>
          <t>✅多源</t>
        </is>
      </c>
    </row>
    <row r="68">
      <c r="A68" s="5" t="inlineStr">
        <is>
          <t>2025年末</t>
        </is>
      </c>
      <c r="B68" s="12" t="n">
        <v>516</v>
      </c>
      <c r="C68" s="12" t="n">
        <v>184</v>
      </c>
      <c r="D68" s="5" t="n"/>
      <c r="E68" s="12" t="n">
        <v>154</v>
      </c>
      <c r="F68" s="12" t="n">
        <v>123</v>
      </c>
      <c r="G68" s="6" t="inlineStr">
        <is>
          <t>⚠️猎聘单一来源，待核验</t>
        </is>
      </c>
    </row>
    <row r="69">
      <c r="A69" s="5" t="inlineStr">
        <is>
          <t>专利权（截至2026-01-31）</t>
        </is>
      </c>
      <c r="B69" s="12" t="n">
        <v>262</v>
      </c>
      <c r="C69" s="5" t="n"/>
      <c r="D69" s="5" t="n"/>
      <c r="E69" s="5" t="n"/>
      <c r="F69" s="5" t="n"/>
      <c r="G69" s="6" t="inlineStr">
        <is>
          <t>含境内发明专利20项（路演口径）；核心技术人员：王兴兴、杨知雨、张阳光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52" customWidth="1" min="4" max="4"/>
  </cols>
  <sheetData>
    <row r="1">
      <c r="A1" s="1" t="inlineStr">
        <is>
          <t>原始数据_IPO与股东（数据块G：上市公告书/发行公告✅）</t>
        </is>
      </c>
    </row>
    <row r="3">
      <c r="A3" s="7" t="inlineStr">
        <is>
          <t>发行要素表</t>
        </is>
      </c>
    </row>
    <row r="4">
      <c r="A4" s="4" t="inlineStr">
        <is>
          <t>项目</t>
        </is>
      </c>
      <c r="B4" s="4" t="inlineStr">
        <is>
          <t>数值</t>
        </is>
      </c>
      <c r="C4" s="4" t="inlineStr">
        <is>
          <t>单位</t>
        </is>
      </c>
      <c r="D4" s="4" t="inlineStr">
        <is>
          <t>备注</t>
        </is>
      </c>
    </row>
    <row r="5">
      <c r="A5" s="5" t="inlineStr">
        <is>
          <t>证券代码/简称</t>
        </is>
      </c>
      <c r="B5" s="6" t="inlineStr">
        <is>
          <t>688836 / 宇树科技（-W表决权差异）</t>
        </is>
      </c>
      <c r="C5" s="5" t="inlineStr"/>
      <c r="D5" s="6" t="inlineStr">
        <is>
          <t>网上申购代码787836</t>
        </is>
      </c>
    </row>
    <row r="6">
      <c r="A6" s="5" t="inlineStr">
        <is>
          <t>发行价</t>
        </is>
      </c>
      <c r="B6" s="14" t="n">
        <v>150.8</v>
      </c>
      <c r="C6" s="5" t="inlineStr">
        <is>
          <t>元/股</t>
        </is>
      </c>
      <c r="D6" s="6" t="inlineStr"/>
    </row>
    <row r="7">
      <c r="A7" s="5" t="inlineStr">
        <is>
          <t>新发股数</t>
        </is>
      </c>
      <c r="B7" s="15" t="n">
        <v>4044.6434</v>
      </c>
      <c r="C7" s="5" t="inlineStr">
        <is>
          <t>万股</t>
        </is>
      </c>
      <c r="D7" s="6" t="inlineStr">
        <is>
          <t>全部新股，占发行后总股本10.00%</t>
        </is>
      </c>
    </row>
    <row r="8">
      <c r="A8" s="5" t="inlineStr">
        <is>
          <t>发行后总股本</t>
        </is>
      </c>
      <c r="B8" s="15" t="n">
        <v>40446.434</v>
      </c>
      <c r="C8" s="5" t="inlineStr">
        <is>
          <t>万股</t>
        </is>
      </c>
      <c r="D8" s="6" t="inlineStr">
        <is>
          <t>发行前36,401.7906万股</t>
        </is>
      </c>
    </row>
    <row r="9">
      <c r="A9" s="5" t="inlineStr">
        <is>
          <t>募资总额</t>
        </is>
      </c>
      <c r="B9" s="16" t="n">
        <v>609932.22</v>
      </c>
      <c r="C9" s="5" t="inlineStr">
        <is>
          <t>万元</t>
        </is>
      </c>
      <c r="D9" s="6" t="inlineStr">
        <is>
          <t>约60.99亿元</t>
        </is>
      </c>
    </row>
    <row r="10">
      <c r="A10" s="5" t="inlineStr">
        <is>
          <t>募资净额</t>
        </is>
      </c>
      <c r="B10" s="16" t="n">
        <v>591714.92</v>
      </c>
      <c r="C10" s="5" t="inlineStr">
        <is>
          <t>万元</t>
        </is>
      </c>
      <c r="D10" s="6" t="inlineStr">
        <is>
          <t>约59.17亿元</t>
        </is>
      </c>
    </row>
    <row r="11">
      <c r="A11" s="5" t="inlineStr">
        <is>
          <t>发行费用</t>
        </is>
      </c>
      <c r="B11" s="16" t="n">
        <v>18217.31</v>
      </c>
      <c r="C11" s="5" t="inlineStr">
        <is>
          <t>万元</t>
        </is>
      </c>
      <c r="D11" s="6" t="inlineStr">
        <is>
          <t>承销保荐费14,499.32万元</t>
        </is>
      </c>
    </row>
    <row r="12">
      <c r="A12" s="5" t="inlineStr">
        <is>
          <t>计划募资</t>
        </is>
      </c>
      <c r="B12" s="16" t="n">
        <v>420171.12</v>
      </c>
      <c r="C12" s="5" t="inlineStr">
        <is>
          <t>万元</t>
        </is>
      </c>
      <c r="D12" s="6" t="inlineStr">
        <is>
          <t>42.02亿元</t>
        </is>
      </c>
    </row>
    <row r="13">
      <c r="A13" s="5" t="inlineStr">
        <is>
          <t>超募金额</t>
        </is>
      </c>
      <c r="B13" s="17" t="n">
        <v>171500</v>
      </c>
      <c r="C13" s="5" t="inlineStr">
        <is>
          <t>万元</t>
        </is>
      </c>
      <c r="D13" s="6" t="inlineStr">
        <is>
          <t>约17.15亿元（约）</t>
        </is>
      </c>
    </row>
    <row r="14">
      <c r="A14" s="5" t="inlineStr">
        <is>
          <t>发行市盈率</t>
        </is>
      </c>
      <c r="B14" s="14" t="n">
        <v>219.23</v>
      </c>
      <c r="C14" s="5" t="inlineStr">
        <is>
          <t>倍</t>
        </is>
      </c>
      <c r="D14" s="6" t="inlineStr">
        <is>
          <t>＝发行市值609.93亿/2025年归母净利润2.7821亿（扣非前后孰低摊薄）</t>
        </is>
      </c>
    </row>
    <row r="15">
      <c r="A15" s="5" t="inlineStr">
        <is>
          <t>行业市盈率（C34通用设备）</t>
        </is>
      </c>
      <c r="B15" s="14" t="n">
        <v>38.56</v>
      </c>
      <c r="C15" s="5" t="inlineStr">
        <is>
          <t>倍</t>
        </is>
      </c>
      <c r="D15" s="6" t="inlineStr"/>
    </row>
    <row r="16">
      <c r="A16" s="5" t="inlineStr">
        <is>
          <t>静态市销率</t>
        </is>
      </c>
      <c r="B16" s="14" t="n">
        <v>35.89</v>
      </c>
      <c r="C16" s="5" t="inlineStr">
        <is>
          <t>倍</t>
        </is>
      </c>
      <c r="D16" s="6" t="inlineStr">
        <is>
          <t>＝609.93亿/16.9927亿</t>
        </is>
      </c>
    </row>
    <row r="17">
      <c r="A17" s="5" t="inlineStr">
        <is>
          <t>网上中签率</t>
        </is>
      </c>
      <c r="B17" s="18" t="n">
        <v>0.0001809759</v>
      </c>
      <c r="C17" s="5" t="inlineStr"/>
      <c r="D17" s="6" t="inlineStr">
        <is>
          <t>科创板历史新低</t>
        </is>
      </c>
    </row>
    <row r="18">
      <c r="A18" s="5" t="inlineStr">
        <is>
          <t>上市初无限售流通股</t>
        </is>
      </c>
      <c r="B18" s="19" t="n">
        <v>3008.772</v>
      </c>
      <c r="C18" s="5" t="inlineStr">
        <is>
          <t>万股</t>
        </is>
      </c>
      <c r="D18" s="6" t="inlineStr">
        <is>
          <t>仅占发行后总股本7.44%</t>
        </is>
      </c>
    </row>
    <row r="19">
      <c r="A19" s="5" t="inlineStr">
        <is>
          <t>发行时市值</t>
        </is>
      </c>
      <c r="B19" s="14" t="n">
        <v>609.9299999999999</v>
      </c>
      <c r="C19" s="5" t="inlineStr">
        <is>
          <t>亿元</t>
        </is>
      </c>
      <c r="D19" s="6" t="inlineStr">
        <is>
          <t>满足"市值不低于100亿元"上市标准</t>
        </is>
      </c>
    </row>
    <row r="21">
      <c r="A21" s="7" t="inlineStr">
        <is>
          <t>IPO时间线</t>
        </is>
      </c>
    </row>
    <row r="22">
      <c r="A22" s="4" t="inlineStr">
        <is>
          <t>节点</t>
        </is>
      </c>
      <c r="B22" s="4" t="inlineStr">
        <is>
          <t>日期</t>
        </is>
      </c>
      <c r="C22" s="4" t="inlineStr">
        <is>
          <t>说明</t>
        </is>
      </c>
    </row>
    <row r="23">
      <c r="A23" s="5" t="inlineStr">
        <is>
          <t>辅导备案</t>
        </is>
      </c>
      <c r="B23" s="5" t="inlineStr">
        <is>
          <t>2025-07-08</t>
        </is>
      </c>
      <c r="C23" s="6" t="inlineStr">
        <is>
          <t>中信证券提交辅导备案</t>
        </is>
      </c>
    </row>
    <row r="24">
      <c r="A24" s="5" t="inlineStr">
        <is>
          <t>上交所受理</t>
        </is>
      </c>
      <c r="B24" s="5" t="inlineStr">
        <is>
          <t>2026-03-20</t>
        </is>
      </c>
      <c r="C24" s="6" t="inlineStr">
        <is>
          <t>科创板"预先审阅"第2单；保荐中信证券、审计容诚、律师北京德恒</t>
        </is>
      </c>
    </row>
    <row r="25">
      <c r="A25" s="5" t="inlineStr">
        <is>
          <t>过会</t>
        </is>
      </c>
      <c r="B25" s="5" t="inlineStr">
        <is>
          <t>2026-06-01</t>
        </is>
      </c>
      <c r="C25" s="6" t="inlineStr">
        <is>
          <t>受理到过会73天，创2026年科创板最快纪录</t>
        </is>
      </c>
    </row>
    <row r="26">
      <c r="A26" s="5" t="inlineStr">
        <is>
          <t>注册生效</t>
        </is>
      </c>
      <c r="B26" s="5" t="inlineStr">
        <is>
          <t>2026-07-02</t>
        </is>
      </c>
      <c r="C26" s="6" t="inlineStr">
        <is>
          <t>证监许可〔2026〕1612号；受理起104天</t>
        </is>
      </c>
    </row>
    <row r="27">
      <c r="A27" s="5" t="inlineStr">
        <is>
          <t>招股意向书</t>
        </is>
      </c>
      <c r="B27" s="5" t="inlineStr">
        <is>
          <t>2026-07-31</t>
        </is>
      </c>
      <c r="C27" s="6" t="inlineStr"/>
    </row>
    <row r="28">
      <c r="A28" s="5" t="inlineStr">
        <is>
          <t>网上/网下申购</t>
        </is>
      </c>
      <c r="B28" s="5" t="inlineStr">
        <is>
          <t>2026-08-10</t>
        </is>
      </c>
      <c r="C28" s="6" t="inlineStr">
        <is>
          <t>网上有效申购978.46万户（科创板历史新高）</t>
        </is>
      </c>
    </row>
    <row r="29">
      <c r="A29" s="5" t="inlineStr">
        <is>
          <t>上市日</t>
        </is>
      </c>
      <c r="B29" s="5" t="inlineStr">
        <is>
          <t>2026-08-19</t>
        </is>
      </c>
      <c r="C29" s="6" t="inlineStr">
        <is>
          <t>上交所科创板挂牌</t>
        </is>
      </c>
    </row>
    <row r="31">
      <c r="A31" s="7" t="inlineStr">
        <is>
          <t>股东结构表（发行前）</t>
        </is>
      </c>
    </row>
    <row r="32">
      <c r="A32" s="4" t="inlineStr">
        <is>
          <t>股东</t>
        </is>
      </c>
      <c r="B32" s="4" t="inlineStr">
        <is>
          <t>发行前持股</t>
        </is>
      </c>
      <c r="C32" s="4" t="inlineStr">
        <is>
          <t>备注</t>
        </is>
      </c>
    </row>
    <row r="33">
      <c r="A33" s="5" t="inlineStr">
        <is>
          <t>王兴兴（直接+上海宇翼）</t>
        </is>
      </c>
      <c r="B33" s="9" t="n">
        <v>0.333583</v>
      </c>
      <c r="C33" s="6" t="inlineStr">
        <is>
          <t>直接23.8216%+上海宇翼9.5367%；发行后直接21.4395%、合计控制表决权65.31%；锁定36个月</t>
        </is>
      </c>
    </row>
    <row r="34">
      <c r="A34" s="5" t="inlineStr">
        <is>
          <t>美团系</t>
        </is>
      </c>
      <c r="B34" s="9" t="n">
        <v>0.096488</v>
      </c>
      <c r="C34" s="6" t="inlineStr">
        <is>
          <t>第一大外部机构股东（汉海信息7.61%+成都龙珠1.02%+Galaxy Z 1.02%）</t>
        </is>
      </c>
    </row>
    <row r="35">
      <c r="A35" s="5" t="inlineStr">
        <is>
          <t>红杉中国</t>
        </is>
      </c>
      <c r="B35" s="9" t="n">
        <v>0.071149</v>
      </c>
      <c r="C35" s="6" t="inlineStr">
        <is>
          <t>2019年1,500万入场（估值约1.5亿）</t>
        </is>
      </c>
    </row>
    <row r="36">
      <c r="A36" s="5" t="inlineStr">
        <is>
          <t>经纬创投</t>
        </is>
      </c>
      <c r="B36" s="9" t="n">
        <v>0.054528</v>
      </c>
      <c r="C36" s="6" t="inlineStr"/>
    </row>
    <row r="37">
      <c r="A37" s="5" t="inlineStr">
        <is>
          <t>顺为资本</t>
        </is>
      </c>
      <c r="B37" s="9" t="n">
        <v>0.044245</v>
      </c>
      <c r="C37" s="6" t="inlineStr">
        <is>
          <t>2021年A轮独家投资</t>
        </is>
      </c>
    </row>
    <row r="38">
      <c r="A38" s="5" t="inlineStr">
        <is>
          <t>中信系</t>
        </is>
      </c>
      <c r="B38" s="9" t="n">
        <v>0.0449</v>
      </c>
      <c r="C38" s="6" t="inlineStr">
        <is>
          <t>金石成长4.15%+中证投资0.34%</t>
        </is>
      </c>
    </row>
    <row r="39">
      <c r="A39" s="5" t="inlineStr">
        <is>
          <t>北京机器人产业发展投资基金</t>
        </is>
      </c>
      <c r="B39" s="9" t="n">
        <v>0.0383</v>
      </c>
      <c r="C39" s="6" t="inlineStr"/>
    </row>
    <row r="40">
      <c r="A40" s="5" t="inlineStr">
        <is>
          <t>源码资本</t>
        </is>
      </c>
      <c r="B40" s="9" t="n">
        <v>0.026</v>
      </c>
      <c r="C40" s="6" t="inlineStr">
        <is>
          <t>2024年B2轮起连续加注</t>
        </is>
      </c>
    </row>
    <row r="41">
      <c r="A41" s="11" t="inlineStr">
        <is>
          <t>锁定期：控股股东/实控人王兴兴36个月；战略配售：DeepSeek 36个月（外部战配最长）/社保基金等12个月；中信证券投资跟投24个月；网下获配10%限售6个月。</t>
        </is>
      </c>
    </row>
    <row r="43">
      <c r="A43" s="7" t="inlineStr">
        <is>
          <t>募投项目表（合计420,171.12万元≈42.02亿元）</t>
        </is>
      </c>
    </row>
    <row r="44">
      <c r="A44" s="4" t="inlineStr">
        <is>
          <t>项目</t>
        </is>
      </c>
      <c r="B44" s="4" t="inlineStr">
        <is>
          <t>拟投入（万元）</t>
        </is>
      </c>
      <c r="C44" s="4" t="inlineStr">
        <is>
          <t>备注</t>
        </is>
      </c>
    </row>
    <row r="45">
      <c r="A45" s="5" t="inlineStr">
        <is>
          <t>智能机器人模型研发项目</t>
        </is>
      </c>
      <c r="B45" s="8" t="n">
        <v>202245.93</v>
      </c>
      <c r="C45" s="6" t="inlineStr">
        <is>
          <t>约48%；押注WMA/VLA技术路线</t>
        </is>
      </c>
    </row>
    <row r="46">
      <c r="A46" s="5" t="inlineStr">
        <is>
          <t>机器人本体研发项目</t>
        </is>
      </c>
      <c r="B46" s="8" t="n">
        <v>110973.8</v>
      </c>
      <c r="C46" s="6" t="inlineStr"/>
    </row>
    <row r="47">
      <c r="A47" s="5" t="inlineStr">
        <is>
          <t>新型智能机器人产品开发项目</t>
        </is>
      </c>
      <c r="B47" s="8" t="n">
        <v>44540</v>
      </c>
      <c r="C47" s="6" t="inlineStr"/>
    </row>
    <row r="48">
      <c r="A48" s="5" t="inlineStr">
        <is>
          <t>智能机器人制造基地建设项目</t>
        </is>
      </c>
      <c r="B48" s="8" t="n">
        <v>62411.39</v>
      </c>
      <c r="C48" s="6" t="inlineStr">
        <is>
          <t>规划年产7.5万台人形+11.5万台四足</t>
        </is>
      </c>
    </row>
    <row r="49">
      <c r="A49" s="5" t="inlineStr">
        <is>
          <t>合计</t>
        </is>
      </c>
      <c r="B49" s="8" t="n">
        <v>420171.12</v>
      </c>
      <c r="C49" s="6" t="inlineStr">
        <is>
          <t>约85%投向研发</t>
        </is>
      </c>
    </row>
    <row r="51">
      <c r="A51" s="7" t="inlineStr">
        <is>
          <t>上市后二级市场表现表（二级市场数据）</t>
        </is>
      </c>
    </row>
    <row r="52">
      <c r="A52" s="4" t="inlineStr">
        <is>
          <t>日期</t>
        </is>
      </c>
      <c r="B52" s="4" t="inlineStr">
        <is>
          <t>收盘价（元）</t>
        </is>
      </c>
      <c r="C52" s="4" t="inlineStr">
        <is>
          <t>市值（亿元）</t>
        </is>
      </c>
      <c r="D52" s="4" t="inlineStr">
        <is>
          <t>备注</t>
        </is>
      </c>
    </row>
    <row r="53">
      <c r="A53" s="5" t="inlineStr">
        <is>
          <t>2026-08-19（首日）</t>
        </is>
      </c>
      <c r="B53" s="13" t="n">
        <v>845</v>
      </c>
      <c r="C53" s="8" t="n">
        <v>3417.72</v>
      </c>
      <c r="D53" s="6" t="inlineStr">
        <is>
          <t>开盘1,100元（+629.44%）、最低800.08元、收盘+460.34%；成交约231.6亿元</t>
        </is>
      </c>
    </row>
    <row r="54">
      <c r="A54" s="5" t="inlineStr">
        <is>
          <t>2026-08-20</t>
        </is>
      </c>
      <c r="B54" s="13" t="n">
        <v>687</v>
      </c>
      <c r="C54" s="5" t="n"/>
      <c r="D54" s="6" t="inlineStr">
        <is>
          <t>-18.70%</t>
        </is>
      </c>
    </row>
    <row r="55">
      <c r="A55" s="5" t="inlineStr">
        <is>
          <t>2026-08-24</t>
        </is>
      </c>
      <c r="B55" s="13" t="n">
        <v>603.08</v>
      </c>
      <c r="C55" s="8" t="n">
        <v>2439</v>
      </c>
      <c r="D55" s="6" t="inlineStr">
        <is>
          <t>单日跌超10%；市值约2,439亿（约）</t>
        </is>
      </c>
    </row>
    <row r="56">
      <c r="A56" s="5" t="inlineStr">
        <is>
          <t>2026-08-26</t>
        </is>
      </c>
      <c r="B56" s="13" t="n">
        <v>591.53</v>
      </c>
      <c r="C56" s="5" t="n"/>
      <c r="D56" s="6" t="inlineStr">
        <is>
          <t>较最高1,100元回撤超45%</t>
        </is>
      </c>
    </row>
    <row r="57">
      <c r="A57" s="5" t="inlineStr">
        <is>
          <t>2026-08-31（补充）</t>
        </is>
      </c>
      <c r="B57" s="13" t="n">
        <v>564.9</v>
      </c>
      <c r="C57" s="8" t="n">
        <v>2285</v>
      </c>
      <c r="D57" s="6" t="inlineStr">
        <is>
          <t>市值约2,285亿（约）；⚠️该交易日略晚于8-30截止日，标注"补充"</t>
        </is>
      </c>
    </row>
    <row r="59">
      <c r="A59" s="7" t="inlineStr">
        <is>
          <t>上市前融资历史表</t>
        </is>
      </c>
    </row>
    <row r="60">
      <c r="A60" s="4" t="inlineStr">
        <is>
          <t>时间</t>
        </is>
      </c>
      <c r="B60" s="4" t="inlineStr">
        <is>
          <t>轮次/事项</t>
        </is>
      </c>
      <c r="C60" s="4" t="inlineStr">
        <is>
          <t>估值/金额</t>
        </is>
      </c>
      <c r="D60" s="4" t="inlineStr">
        <is>
          <t>投资方/备注</t>
        </is>
      </c>
    </row>
    <row r="61">
      <c r="A61" s="5" t="inlineStr">
        <is>
          <t>2019年</t>
        </is>
      </c>
      <c r="B61" s="6" t="inlineStr">
        <is>
          <t>红杉中国入场</t>
        </is>
      </c>
      <c r="C61" s="6" t="inlineStr">
        <is>
          <t>投资1,500万元；估值约1.5亿元</t>
        </is>
      </c>
      <c r="D61" s="6" t="inlineStr"/>
    </row>
    <row r="62">
      <c r="A62" s="5" t="inlineStr">
        <is>
          <t>2025-06</t>
        </is>
      </c>
      <c r="B62" s="6" t="inlineStr">
        <is>
          <t>C轮（IPO前最后一轮市场化融资）</t>
        </is>
      </c>
      <c r="C62" s="6" t="inlineStr">
        <is>
          <t>投前120亿/投后127亿元</t>
        </is>
      </c>
      <c r="D62" s="6" t="inlineStr">
        <is>
          <t>腾讯、中移动、阿里、蚂蚁、吉利等</t>
        </is>
      </c>
    </row>
    <row r="63">
      <c r="A63" s="5" t="inlineStr">
        <is>
          <t>十年累计</t>
        </is>
      </c>
      <c r="B63" s="6" t="inlineStr">
        <is>
          <t>市场化股权融资</t>
        </is>
      </c>
      <c r="C63" s="6" t="inlineStr">
        <is>
          <t>约18.92亿元</t>
        </is>
      </c>
      <c r="D63" s="6" t="inlineStr"/>
    </row>
    <row r="65">
      <c r="A65" s="7" t="inlineStr">
        <is>
          <t>机构观点（🔮第三方预测，非公司披露，严禁写成事实）</t>
        </is>
      </c>
    </row>
    <row r="66">
      <c r="A66" s="4" t="inlineStr">
        <is>
          <t>机构</t>
        </is>
      </c>
      <c r="B66" s="4" t="inlineStr">
        <is>
          <t>观点</t>
        </is>
      </c>
      <c r="C66" s="4" t="inlineStr">
        <is>
          <t>备注</t>
        </is>
      </c>
    </row>
    <row r="67">
      <c r="A67" s="5" t="inlineStr">
        <is>
          <t>中信证券</t>
        </is>
      </c>
      <c r="B67" s="6" t="inlineStr">
        <is>
          <t>合理市值506–559亿元（第三方预测）</t>
        </is>
      </c>
      <c r="C67" s="6" t="inlineStr">
        <is>
          <t>远低于现价</t>
        </is>
      </c>
    </row>
    <row r="68">
      <c r="A68" s="5" t="inlineStr">
        <is>
          <t>野村</t>
        </is>
      </c>
      <c r="B68" s="6" t="inlineStr">
        <is>
          <t>目标价370元（第三方预测）</t>
        </is>
      </c>
      <c r="C68" s="6" t="inlineStr"/>
    </row>
    <row r="69">
      <c r="A69" s="5" t="inlineStr">
        <is>
          <t>建银国际</t>
        </is>
      </c>
      <c r="B69" s="6" t="inlineStr">
        <is>
          <t>目标价269元（第三方预测）</t>
        </is>
      </c>
      <c r="C6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30" customWidth="1" min="3" max="3"/>
    <col width="14" customWidth="1" min="4" max="4"/>
    <col width="55" customWidth="1" min="5" max="5"/>
  </cols>
  <sheetData>
    <row r="1">
      <c r="A1" s="1" t="inlineStr">
        <is>
          <t>原始数据_经营（数据块H+市占率/下游应用/定价/大事记；官方/表态/机构分级标注）</t>
        </is>
      </c>
    </row>
    <row r="3">
      <c r="A3" s="7" t="inlineStr">
        <is>
          <t>产品定价表（官方）</t>
        </is>
      </c>
    </row>
    <row r="4">
      <c r="A4" s="4" t="inlineStr">
        <is>
          <t>型号/产品</t>
        </is>
      </c>
      <c r="B4" s="4" t="inlineStr">
        <is>
          <t>定价</t>
        </is>
      </c>
      <c r="C4" s="4" t="inlineStr">
        <is>
          <t>备注</t>
        </is>
      </c>
    </row>
    <row r="5">
      <c r="A5" s="5" t="inlineStr">
        <is>
          <t>Go2（四足）</t>
        </is>
      </c>
      <c r="B5" s="6" t="inlineStr">
        <is>
          <t>9,997元起</t>
        </is>
      </c>
      <c r="C5" s="6" t="inlineStr">
        <is>
          <t>海外$1,600起</t>
        </is>
      </c>
    </row>
    <row r="6">
      <c r="A6" s="5" t="inlineStr">
        <is>
          <t>G1（人形）</t>
        </is>
      </c>
      <c r="B6" s="6" t="inlineStr">
        <is>
          <t>发布9.9万起→2026年降至8.5万</t>
        </is>
      </c>
      <c r="C6" s="6" t="inlineStr">
        <is>
          <t>海外$13,500起；截至2026-05累计下线约11,000台</t>
        </is>
      </c>
    </row>
    <row r="7">
      <c r="A7" s="5" t="inlineStr">
        <is>
          <t>R1（人形）</t>
        </is>
      </c>
      <c r="B7" s="6" t="inlineStr">
        <is>
          <t>3.99万起→2026-06-24降至2.99万起</t>
        </is>
      </c>
      <c r="C7" s="6" t="inlineStr">
        <is>
          <t>消费级入门</t>
        </is>
      </c>
    </row>
    <row r="8">
      <c r="A8" s="5" t="inlineStr">
        <is>
          <t>H1（人形）</t>
        </is>
      </c>
      <c r="B8" s="6" t="inlineStr">
        <is>
          <t>约65万/台</t>
        </is>
      </c>
      <c r="C8" s="6" t="inlineStr">
        <is>
          <t>首款通用人形</t>
        </is>
      </c>
    </row>
    <row r="10">
      <c r="A10" s="7" t="inlineStr">
        <is>
          <t>产能</t>
        </is>
      </c>
    </row>
    <row r="11">
      <c r="A11" s="4" t="inlineStr">
        <is>
          <t>指标</t>
        </is>
      </c>
      <c r="B11" s="4" t="inlineStr">
        <is>
          <t>数值（台）</t>
        </is>
      </c>
      <c r="C11" s="4" t="inlineStr">
        <is>
          <t>备注</t>
        </is>
      </c>
    </row>
    <row r="12">
      <c r="A12" s="5" t="inlineStr">
        <is>
          <t>纯双足人形累计下线（截至2026-07）</t>
        </is>
      </c>
      <c r="B12" s="12" t="n">
        <v>18000</v>
      </c>
      <c r="C12" s="6" t="inlineStr">
        <is>
          <t>约（官方）</t>
        </is>
      </c>
    </row>
    <row r="13">
      <c r="A13" s="5" t="inlineStr">
        <is>
          <t>G1单款累计下线（截至2026-05）</t>
        </is>
      </c>
      <c r="B13" s="12" t="n">
        <v>11000</v>
      </c>
      <c r="C13" s="6" t="inlineStr">
        <is>
          <t>约（官方）</t>
        </is>
      </c>
    </row>
    <row r="15">
      <c r="A15" s="7" t="inlineStr">
        <is>
          <t>市占率表</t>
        </is>
      </c>
    </row>
    <row r="16">
      <c r="A16" s="4" t="inlineStr">
        <is>
          <t>指标</t>
        </is>
      </c>
      <c r="B16" s="4" t="inlineStr">
        <is>
          <t>数值</t>
        </is>
      </c>
      <c r="C16" s="4" t="inlineStr">
        <is>
          <t>口径/来源</t>
        </is>
      </c>
      <c r="D16" s="4" t="inlineStr">
        <is>
          <t>备注</t>
        </is>
      </c>
    </row>
    <row r="17">
      <c r="A17" s="5" t="inlineStr">
        <is>
          <t>四足全球销量份额</t>
        </is>
      </c>
      <c r="B17" s="6" t="inlineStr">
        <is>
          <t>60%–70%</t>
        </is>
      </c>
      <c r="C17" s="6" t="inlineStr">
        <is>
          <t>王兴兴2025-07-15国新办表态✅</t>
        </is>
      </c>
      <c r="D17" s="6" t="inlineStr">
        <is>
          <t>管理层口径</t>
        </is>
      </c>
    </row>
    <row r="18">
      <c r="A18" s="5" t="inlineStr">
        <is>
          <t>四足2023年全球销量份额</t>
        </is>
      </c>
      <c r="B18" s="9" t="n">
        <v>0.6975</v>
      </c>
      <c r="C18" s="6" t="inlineStr">
        <is>
          <t>GGII（机构数据）</t>
        </is>
      </c>
      <c r="D18" s="6" t="inlineStr"/>
    </row>
    <row r="19">
      <c r="A19" s="5" t="inlineStr">
        <is>
          <t>人形2025年出货份额</t>
        </is>
      </c>
      <c r="B19" s="9" t="n">
        <v>0.324</v>
      </c>
      <c r="C19" s="6" t="inlineStr">
        <is>
          <t>赛迪顾问，被注册批复报道引用✅</t>
        </is>
      </c>
      <c r="D19" s="6" t="inlineStr">
        <is>
          <t>出货超5,500台全球第一；第三方口径差异：Omdia 4,200台/Counterpoint 26.4%（列待核验）</t>
        </is>
      </c>
    </row>
    <row r="21">
      <c r="A21" s="7" t="inlineStr">
        <is>
          <t>下游应用结构表（2025年1-9月，申报稿✅）</t>
        </is>
      </c>
    </row>
    <row r="22">
      <c r="A22" s="4" t="inlineStr">
        <is>
          <t>产品</t>
        </is>
      </c>
      <c r="B22" s="4" t="inlineStr">
        <is>
          <t>科研教育</t>
        </is>
      </c>
      <c r="C22" s="4" t="inlineStr">
        <is>
          <t>商业消费</t>
        </is>
      </c>
      <c r="D22" s="4" t="inlineStr">
        <is>
          <t>行业应用</t>
        </is>
      </c>
      <c r="E22" s="4" t="inlineStr">
        <is>
          <t>备注</t>
        </is>
      </c>
    </row>
    <row r="23">
      <c r="A23" s="5" t="inlineStr">
        <is>
          <t>人形机器人</t>
        </is>
      </c>
      <c r="B23" s="9" t="n">
        <v>0.736</v>
      </c>
      <c r="C23" s="9" t="n">
        <v>0.1739</v>
      </c>
      <c r="D23" s="9" t="n">
        <v>0.0901</v>
      </c>
      <c r="E23" s="6" t="inlineStr">
        <is>
          <t>科研教育43,800万；真实生产场景（智能制造/智能巡检等）仅1,570万、占主营2.64%⚠️单一来源</t>
        </is>
      </c>
    </row>
    <row r="24">
      <c r="A24" s="5" t="inlineStr">
        <is>
          <t>四足机器人</t>
        </is>
      </c>
      <c r="B24" s="9" t="n">
        <v>0.3158</v>
      </c>
      <c r="C24" s="9" t="n">
        <v>0.423</v>
      </c>
      <c r="D24" s="9" t="n">
        <v>0.2612</v>
      </c>
      <c r="E24" s="6" t="inlineStr">
        <is>
          <t>商业消费首超科研教育成第一大场景</t>
        </is>
      </c>
    </row>
    <row r="26">
      <c r="A26" s="7" t="inlineStr">
        <is>
          <t>2026大事记表</t>
        </is>
      </c>
    </row>
    <row r="27">
      <c r="A27" s="4" t="inlineStr">
        <is>
          <t>时间</t>
        </is>
      </c>
      <c r="B27" s="4" t="inlineStr">
        <is>
          <t>事件</t>
        </is>
      </c>
    </row>
    <row r="28">
      <c r="A28" s="5" t="inlineStr">
        <is>
          <t>2026-02</t>
        </is>
      </c>
      <c r="B28" s="6" t="inlineStr">
        <is>
          <t>马年春晚《武BOT》：G1+H2全球首次全自主人形机器人集群武术表演</t>
        </is>
      </c>
    </row>
    <row r="29">
      <c r="A29" s="5" t="inlineStr">
        <is>
          <t>2026-03-17</t>
        </is>
      </c>
      <c r="B29" s="6" t="inlineStr">
        <is>
          <t>英伟达GTC合作H2参考平台（王兴兴具身智能主论坛演讲）</t>
        </is>
      </c>
    </row>
    <row r="30">
      <c r="A30" s="5" t="inlineStr">
        <is>
          <t>2026年初</t>
        </is>
      </c>
      <c r="B30" s="6" t="inlineStr">
        <is>
          <t>自研工业级具身大模型UnifoLM-X1-0在自有工厂完成试点部署测试</t>
        </is>
      </c>
    </row>
    <row r="31">
      <c r="A31" s="5" t="inlineStr">
        <is>
          <t>2026-06-24</t>
        </is>
      </c>
      <c r="B31" s="6" t="inlineStr">
        <is>
          <t>R1降价：3.99万→2.99万元起并现货开售</t>
        </is>
      </c>
    </row>
    <row r="32">
      <c r="A32" s="5" t="inlineStr">
        <is>
          <t>2026-07</t>
        </is>
      </c>
      <c r="B32" s="6" t="inlineStr">
        <is>
          <t>As2-W轮足复合机器人发布（工业巡检/户外勘探）</t>
        </is>
      </c>
    </row>
    <row r="33">
      <c r="A33" s="5" t="inlineStr">
        <is>
          <t>2026-07-28</t>
        </is>
      </c>
      <c r="B33" s="6" t="inlineStr">
        <is>
          <t>美国FCC禁令：禁止进口中国新型人形/四足机器人（即日生效，仅限新型号）</t>
        </is>
      </c>
    </row>
    <row r="34">
      <c r="A34" s="5" t="inlineStr">
        <is>
          <t>2026-08-17</t>
        </is>
      </c>
      <c r="B34" s="6" t="inlineStr">
        <is>
          <t>发布"超人"人形机器人原型机（跳高2米、12.66m/s）</t>
        </is>
      </c>
    </row>
    <row r="35">
      <c r="A35" s="5" t="inlineStr">
        <is>
          <t>2026-08-19</t>
        </is>
      </c>
      <c r="B35" s="6" t="inlineStr">
        <is>
          <t>科创板上市（688836）</t>
        </is>
      </c>
    </row>
    <row r="36">
      <c r="A36" s="5" t="inlineStr">
        <is>
          <t>2026-08下旬</t>
        </is>
      </c>
      <c r="B36" s="6" t="inlineStr">
        <is>
          <t>全资子公司天津宇天科技注册落地（港口/石油石化/制造场景）</t>
        </is>
      </c>
    </row>
    <row r="38">
      <c r="A38" s="7" t="inlineStr">
        <is>
          <t>行业预测表（🔮第三方预测，严禁写成事实）</t>
        </is>
      </c>
    </row>
    <row r="39">
      <c r="A39" s="4" t="inlineStr">
        <is>
          <t>机构</t>
        </is>
      </c>
      <c r="B39" s="4" t="inlineStr">
        <is>
          <t>预测内容</t>
        </is>
      </c>
    </row>
    <row r="40">
      <c r="A40" s="5" t="inlineStr">
        <is>
          <t>GGII（高工机器人）</t>
        </is>
      </c>
      <c r="B40" s="6" t="inlineStr">
        <is>
          <t>预测2030年全球人形机器人销量60.57万台/市场规模150亿美元（第三方预测）</t>
        </is>
      </c>
    </row>
    <row r="41">
      <c r="A41" s="5" t="inlineStr">
        <is>
          <t>摩根士丹利</t>
        </is>
      </c>
      <c r="B41" s="6" t="inlineStr">
        <is>
          <t>预测2030年全球人形机器人销量900万台（第三方预测）</t>
        </is>
      </c>
    </row>
    <row r="42">
      <c r="A42" s="5" t="inlineStr">
        <is>
          <t>SAG（Smart Analytics Global）</t>
        </is>
      </c>
      <c r="B42" s="6" t="inlineStr">
        <is>
          <t>预测2026年全球人形机器人出货约6万台（第三方预测）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核心计算（全部为Excel公式跨表引用原始数据sheet，未硬编码计算结果）</t>
        </is>
      </c>
    </row>
    <row r="3">
      <c r="A3" s="7" t="inlineStr">
        <is>
          <t>1. 营业收入同比增速（计算值 vs 披露值）</t>
        </is>
      </c>
    </row>
    <row r="4">
      <c r="A4" s="4" t="inlineStr">
        <is>
          <t>指标</t>
        </is>
      </c>
      <c r="B4" s="4" t="inlineStr">
        <is>
          <t>2023</t>
        </is>
      </c>
      <c r="C4" s="4" t="inlineStr">
        <is>
          <t>2024</t>
        </is>
      </c>
      <c r="D4" s="4" t="inlineStr">
        <is>
          <t>2025</t>
        </is>
      </c>
      <c r="E4" s="4" t="inlineStr">
        <is>
          <t>备注</t>
        </is>
      </c>
    </row>
    <row r="5">
      <c r="A5" s="5" t="inlineStr">
        <is>
          <t>营收同比增速（公式计算）</t>
        </is>
      </c>
      <c r="B5" s="5">
        <f>'原始数据_财务'!C5/'原始数据_财务'!B5-1</f>
        <v/>
      </c>
      <c r="C5" s="5">
        <f>'原始数据_财务'!D5/'原始数据_财务'!C5-1</f>
        <v/>
      </c>
      <c r="D5" s="5">
        <f>'原始数据_财务'!E5/'原始数据_财务'!D5-1</f>
        <v/>
      </c>
      <c r="E5" s="6" t="inlineStr">
        <is>
          <t>营业收入口径；2022/2024营收为约数，故与披露值略有差异</t>
        </is>
      </c>
    </row>
    <row r="6">
      <c r="A6" s="5" t="inlineStr">
        <is>
          <t>披露值对照（主营业务收入口径）</t>
        </is>
      </c>
      <c r="B6" s="9" t="n">
        <v>0.2995</v>
      </c>
      <c r="C6" s="9" t="n">
        <v>1.4583</v>
      </c>
      <c r="D6" s="9" t="n">
        <v>3.3264</v>
      </c>
      <c r="E6" s="6" t="inlineStr">
        <is>
          <t>申报稿主营口径+29.95%/+145.83%/+335.31%；注册稿营收口径2025年+332.64%</t>
        </is>
      </c>
    </row>
    <row r="8">
      <c r="A8" s="7" t="inlineStr">
        <is>
          <t>2. 归母净利率、扣非净利率（2023–2025）</t>
        </is>
      </c>
    </row>
    <row r="9">
      <c r="A9" s="4" t="inlineStr">
        <is>
          <t>指标</t>
        </is>
      </c>
      <c r="B9" s="4" t="inlineStr">
        <is>
          <t>2023</t>
        </is>
      </c>
      <c r="C9" s="4" t="inlineStr">
        <is>
          <t>2024</t>
        </is>
      </c>
      <c r="D9" s="4" t="inlineStr">
        <is>
          <t>2025</t>
        </is>
      </c>
      <c r="E9" s="4" t="inlineStr">
        <is>
          <t>备注</t>
        </is>
      </c>
    </row>
    <row r="10">
      <c r="A10" s="5" t="inlineStr">
        <is>
          <t>归母净利率</t>
        </is>
      </c>
      <c r="B10" s="5">
        <f>'原始数据_财务'!C6/'原始数据_财务'!C5</f>
        <v/>
      </c>
      <c r="C10" s="5">
        <f>'原始数据_财务'!D6/'原始数据_财务'!D5</f>
        <v/>
      </c>
      <c r="D10" s="5">
        <f>'原始数据_财务'!E6/'原始数据_财务'!E5</f>
        <v/>
      </c>
      <c r="E10" s="6" t="inlineStr"/>
    </row>
    <row r="11">
      <c r="A11" s="5" t="inlineStr">
        <is>
          <t>扣非净利率</t>
        </is>
      </c>
      <c r="B11" s="5">
        <f>'原始数据_财务'!C7/'原始数据_财务'!C5</f>
        <v/>
      </c>
      <c r="C11" s="5">
        <f>'原始数据_财务'!D7/'原始数据_财务'!D5</f>
        <v/>
      </c>
      <c r="D11" s="5">
        <f>'原始数据_财务'!E7/'原始数据_财务'!E5</f>
        <v/>
      </c>
      <c r="E11" s="6" t="inlineStr">
        <is>
          <t>2025年扣非净利率约34.8%</t>
        </is>
      </c>
    </row>
    <row r="13">
      <c r="A13" s="7" t="inlineStr">
        <is>
          <t>3. 研发费用率复算（2022–2025）</t>
        </is>
      </c>
    </row>
    <row r="14">
      <c r="A14" s="4" t="inlineStr">
        <is>
          <t>指标</t>
        </is>
      </c>
      <c r="B14" s="4" t="inlineStr">
        <is>
          <t>2022</t>
        </is>
      </c>
      <c r="C14" s="4" t="inlineStr">
        <is>
          <t>2023</t>
        </is>
      </c>
      <c r="D14" s="4" t="inlineStr">
        <is>
          <t>2024</t>
        </is>
      </c>
      <c r="E14" s="4" t="inlineStr">
        <is>
          <t>2025</t>
        </is>
      </c>
      <c r="F14" s="4" t="inlineStr">
        <is>
          <t>备注</t>
        </is>
      </c>
    </row>
    <row r="15">
      <c r="A15" s="5" t="inlineStr">
        <is>
          <t>研发费用率（复算=研发费用/营业收入）</t>
        </is>
      </c>
      <c r="B15" s="5">
        <f>'原始数据_财务'!B9/'原始数据_财务'!B5</f>
        <v/>
      </c>
      <c r="C15" s="5">
        <f>'原始数据_财务'!C9/'原始数据_财务'!C5</f>
        <v/>
      </c>
      <c r="D15" s="5">
        <f>'原始数据_财务'!D9/'原始数据_财务'!D5</f>
        <v/>
      </c>
      <c r="E15" s="5">
        <f>'原始数据_财务'!E9/'原始数据_财务'!E5</f>
        <v/>
      </c>
      <c r="F15" s="6" t="inlineStr">
        <is>
          <t>2022/2024营收为约数，复算与披露基本一致</t>
        </is>
      </c>
    </row>
    <row r="16">
      <c r="A16" s="5" t="inlineStr">
        <is>
          <t>披露值对照</t>
        </is>
      </c>
      <c r="B16" s="9" t="n">
        <v>0.2439</v>
      </c>
      <c r="C16" s="9" t="n">
        <v>0.3139</v>
      </c>
      <c r="D16" s="9" t="n">
        <v>0.1784</v>
      </c>
      <c r="E16" s="9" t="n">
        <v>0.0853</v>
      </c>
      <c r="F16" s="6" t="inlineStr"/>
    </row>
    <row r="18">
      <c r="A18" s="7" t="inlineStr">
        <is>
          <t>4. 2023–2025营收CAGR</t>
        </is>
      </c>
    </row>
    <row r="19">
      <c r="A19" s="4" t="inlineStr">
        <is>
          <t>指标</t>
        </is>
      </c>
      <c r="B19" s="4" t="inlineStr">
        <is>
          <t>数值</t>
        </is>
      </c>
      <c r="C19" s="4" t="inlineStr">
        <is>
          <t>披露对照</t>
        </is>
      </c>
      <c r="D19" s="4" t="inlineStr">
        <is>
          <t>备注</t>
        </is>
      </c>
    </row>
    <row r="20">
      <c r="A20" s="5" t="inlineStr">
        <is>
          <t>营收CAGR（2023–2025）</t>
        </is>
      </c>
      <c r="B20" s="5">
        <f>POWER('原始数据_财务'!E5/'原始数据_财务'!C5,1/2)-1</f>
        <v/>
      </c>
      <c r="C20" s="9" t="n">
        <v>2.2678</v>
      </c>
      <c r="D20" s="6" t="inlineStr">
        <is>
          <t>对照披露226.78%</t>
        </is>
      </c>
    </row>
    <row r="22">
      <c r="A22" s="7" t="inlineStr">
        <is>
          <t>5. 分产品收入占比复算（2023–2025，占主营业务收入）</t>
        </is>
      </c>
    </row>
    <row r="23">
      <c r="A23" s="4" t="inlineStr">
        <is>
          <t>产品</t>
        </is>
      </c>
      <c r="B23" s="4" t="inlineStr">
        <is>
          <t>2023计算</t>
        </is>
      </c>
      <c r="C23" s="4" t="inlineStr">
        <is>
          <t>2023披露</t>
        </is>
      </c>
      <c r="D23" s="4" t="inlineStr">
        <is>
          <t>2024计算</t>
        </is>
      </c>
      <c r="E23" s="4" t="inlineStr">
        <is>
          <t>2024披露</t>
        </is>
      </c>
      <c r="F23" s="4" t="inlineStr">
        <is>
          <t>2025计算</t>
        </is>
      </c>
      <c r="G23" s="4" t="inlineStr">
        <is>
          <t>2025披露</t>
        </is>
      </c>
    </row>
    <row r="24">
      <c r="A24" s="5" t="inlineStr">
        <is>
          <t>四足机器人</t>
        </is>
      </c>
      <c r="B24" s="5">
        <f>'原始数据_财务'!B28/'原始数据_财务'!B31</f>
        <v/>
      </c>
      <c r="C24" s="5">
        <f>'原始数据_财务'!C28</f>
        <v/>
      </c>
      <c r="D24" s="5">
        <f>'原始数据_财务'!D28/'原始数据_财务'!D31</f>
        <v/>
      </c>
      <c r="E24" s="5">
        <f>'原始数据_财务'!E28</f>
        <v/>
      </c>
      <c r="F24" s="5">
        <f>'原始数据_财务'!F28/'原始数据_财务'!F31</f>
        <v/>
      </c>
      <c r="G24" s="5">
        <f>'原始数据_财务'!G28</f>
        <v/>
      </c>
    </row>
    <row r="25">
      <c r="A25" s="5" t="inlineStr">
        <is>
          <t>人形机器人</t>
        </is>
      </c>
      <c r="B25" s="5">
        <f>'原始数据_财务'!B29/'原始数据_财务'!B31</f>
        <v/>
      </c>
      <c r="C25" s="5">
        <f>'原始数据_财务'!C29</f>
        <v/>
      </c>
      <c r="D25" s="5">
        <f>'原始数据_财务'!D29/'原始数据_财务'!D31</f>
        <v/>
      </c>
      <c r="E25" s="5">
        <f>'原始数据_财务'!E29</f>
        <v/>
      </c>
      <c r="F25" s="5">
        <f>'原始数据_财务'!F29/'原始数据_财务'!F31</f>
        <v/>
      </c>
      <c r="G25" s="5">
        <f>'原始数据_财务'!G29</f>
        <v/>
      </c>
    </row>
    <row r="26">
      <c r="A26" s="5" t="inlineStr">
        <is>
          <t>组件及其他</t>
        </is>
      </c>
      <c r="B26" s="5">
        <f>'原始数据_财务'!B30/'原始数据_财务'!B31</f>
        <v/>
      </c>
      <c r="C26" s="5">
        <f>'原始数据_财务'!C30</f>
        <v/>
      </c>
      <c r="D26" s="5">
        <f>'原始数据_财务'!D30/'原始数据_财务'!D31</f>
        <v/>
      </c>
      <c r="E26" s="5">
        <f>'原始数据_财务'!E30</f>
        <v/>
      </c>
      <c r="F26" s="5">
        <f>'原始数据_财务'!F30/'原始数据_财务'!F31</f>
        <v/>
      </c>
      <c r="G26" s="5">
        <f>'原始数据_财务'!G30</f>
        <v/>
      </c>
    </row>
    <row r="27">
      <c r="A27" s="5" t="inlineStr">
        <is>
          <t>合计（复算校验）</t>
        </is>
      </c>
      <c r="B27" s="5">
        <f>SUM('原始数据_财务'!B28:'原始数据_财务'!B30)/'原始数据_财务'!B31</f>
        <v/>
      </c>
      <c r="C27" s="9" t="n">
        <v>1</v>
      </c>
      <c r="D27" s="5">
        <f>SUM('原始数据_财务'!D28:'原始数据_财务'!D30)/'原始数据_财务'!D31</f>
        <v/>
      </c>
      <c r="E27" s="9" t="n">
        <v>1</v>
      </c>
      <c r="F27" s="5">
        <f>SUM('原始数据_财务'!F28:'原始数据_财务'!F30)/'原始数据_财务'!F31</f>
        <v/>
      </c>
      <c r="G27" s="9" t="n">
        <v>1</v>
      </c>
    </row>
    <row r="28">
      <c r="A28" s="11" t="inlineStr">
        <is>
          <t>注：主营业务收入为倒算约数（⚠️），故计算占比与披露占比存在小幅差异；组件及其他占比本身为倒算值。</t>
        </is>
      </c>
    </row>
    <row r="30">
      <c r="A30" s="7" t="inlineStr">
        <is>
          <t>6. 人形机器人收入=销量×单价交叉验证（9M2025）</t>
        </is>
      </c>
    </row>
    <row r="31">
      <c r="A31" s="4" t="inlineStr">
        <is>
          <t>指标</t>
        </is>
      </c>
      <c r="B31" s="4" t="inlineStr">
        <is>
          <t>数值（万元）</t>
        </is>
      </c>
      <c r="C31" s="4" t="inlineStr">
        <is>
          <t>披露对照（万元）</t>
        </is>
      </c>
      <c r="D31" s="4" t="inlineStr">
        <is>
          <t>备注</t>
        </is>
      </c>
    </row>
    <row r="32">
      <c r="A32" s="5" t="inlineStr">
        <is>
          <t>9M2025人形销量×平均单价</t>
        </is>
      </c>
      <c r="B32" s="5">
        <f>'原始数据_财务'!E49*'原始数据_财务'!E50</f>
        <v/>
      </c>
      <c r="C32" s="10" t="n">
        <v>59500</v>
      </c>
      <c r="D32" s="6" t="inlineStr">
        <is>
          <t>≈59,515万，与披露人形收入59,500万自洽✅（差异为单价四舍五入）</t>
        </is>
      </c>
    </row>
    <row r="34">
      <c r="A34" s="7" t="inlineStr">
        <is>
          <t>7. 经营现金流净额/扣非归母净利润（2024、2025）</t>
        </is>
      </c>
    </row>
    <row r="35">
      <c r="A35" s="4" t="inlineStr">
        <is>
          <t>指标</t>
        </is>
      </c>
      <c r="B35" s="4" t="inlineStr">
        <is>
          <t>2024</t>
        </is>
      </c>
      <c r="C35" s="4" t="inlineStr">
        <is>
          <t>2025</t>
        </is>
      </c>
      <c r="D35" s="4" t="inlineStr">
        <is>
          <t>备注</t>
        </is>
      </c>
    </row>
    <row r="36">
      <c r="A36" s="5" t="inlineStr">
        <is>
          <t>经营现金流/扣非净利润</t>
        </is>
      </c>
      <c r="B36" s="5">
        <f>'原始数据_财务'!D11/'原始数据_财务'!D7</f>
        <v/>
      </c>
      <c r="C36" s="5">
        <f>'原始数据_财务'!E11/'原始数据_财务'!E7</f>
        <v/>
      </c>
      <c r="D36" s="6" t="inlineStr">
        <is>
          <t>&gt;1说明利润含金量高；现金流为约数（披露1.92亿/6.70亿）</t>
        </is>
      </c>
    </row>
    <row r="38">
      <c r="A38" s="7" t="inlineStr">
        <is>
          <t>8. 非经常性损益（2025）及股份支付占比</t>
        </is>
      </c>
    </row>
    <row r="39">
      <c r="A39" s="4" t="inlineStr">
        <is>
          <t>指标</t>
        </is>
      </c>
      <c r="B39" s="4" t="inlineStr">
        <is>
          <t>数值</t>
        </is>
      </c>
      <c r="C39" s="4" t="inlineStr">
        <is>
          <t>备注</t>
        </is>
      </c>
    </row>
    <row r="40">
      <c r="A40" s="5" t="inlineStr">
        <is>
          <t>2025年非经常性损益（=归母-扣非，万元）</t>
        </is>
      </c>
      <c r="B40" s="5">
        <f>'原始数据_财务'!E6-'原始数据_财务'!E7</f>
        <v/>
      </c>
      <c r="C40" s="6" t="inlineStr">
        <is>
          <t>约-31,254万（倒算）</t>
        </is>
      </c>
    </row>
    <row r="41">
      <c r="A41" s="5" t="inlineStr">
        <is>
          <t>股份支付/（扣非-归母）</t>
        </is>
      </c>
      <c r="B41" s="5">
        <f>'原始数据_财务'!B21/('原始数据_财务'!E7-'原始数据_财务'!E6)</f>
        <v/>
      </c>
      <c r="C41" s="6" t="inlineStr">
        <is>
          <t>一次性股份支付34,906.55万计入管理费用✅，是归母与扣非差异主因</t>
        </is>
      </c>
    </row>
    <row r="43">
      <c r="A43" s="7" t="inlineStr">
        <is>
          <t>9. 估值指标：各时点市值对应PE（2025归母）/PS（2025营收）——以二级市场数据计算</t>
        </is>
      </c>
    </row>
    <row r="44">
      <c r="A44" s="4" t="inlineStr">
        <is>
          <t>时点</t>
        </is>
      </c>
      <c r="B44" s="4" t="inlineStr">
        <is>
          <t>市值（亿元，公式引用）</t>
        </is>
      </c>
      <c r="C44" s="4" t="inlineStr">
        <is>
          <t>市值（万元）</t>
        </is>
      </c>
      <c r="D44" s="4" t="inlineStr">
        <is>
          <t>PE（2025归母）</t>
        </is>
      </c>
      <c r="E44" s="4" t="inlineStr">
        <is>
          <t>PS（2025营收）</t>
        </is>
      </c>
      <c r="F44" s="4" t="inlineStr">
        <is>
          <t>备注</t>
        </is>
      </c>
    </row>
    <row r="45">
      <c r="A45" s="5" t="inlineStr">
        <is>
          <t>发行时</t>
        </is>
      </c>
      <c r="B45" s="5">
        <f>'原始数据_IPO与股东'!B19</f>
        <v/>
      </c>
      <c r="C45" s="5">
        <f>B45*10000</f>
        <v/>
      </c>
      <c r="D45" s="5">
        <f>C45/'原始数据_财务'!E6</f>
        <v/>
      </c>
      <c r="E45" s="5">
        <f>C45/'原始数据_财务'!E5</f>
        <v/>
      </c>
      <c r="F45" s="6" t="inlineStr">
        <is>
          <t>发行价150.80元×发行后总股本</t>
        </is>
      </c>
    </row>
    <row r="46">
      <c r="A46" s="5" t="inlineStr">
        <is>
          <t>首日收盘（2026-08-19）</t>
        </is>
      </c>
      <c r="B46" s="5">
        <f>'原始数据_IPO与股东'!C53</f>
        <v/>
      </c>
      <c r="C46" s="5">
        <f>B46*10000</f>
        <v/>
      </c>
      <c r="D46" s="5">
        <f>C46/'原始数据_财务'!E6</f>
        <v/>
      </c>
      <c r="E46" s="5">
        <f>C46/'原始数据_财务'!E5</f>
        <v/>
      </c>
      <c r="F46" s="6" t="inlineStr">
        <is>
          <t>收盘845元；二级市场数据</t>
        </is>
      </c>
    </row>
    <row r="47">
      <c r="A47" s="5" t="inlineStr">
        <is>
          <t>2026-08-31（补充）</t>
        </is>
      </c>
      <c r="B47" s="5">
        <f>'原始数据_IPO与股东'!C57</f>
        <v/>
      </c>
      <c r="C47" s="5">
        <f>B47*10000</f>
        <v/>
      </c>
      <c r="D47" s="5">
        <f>C47/'原始数据_财务'!E6</f>
        <v/>
      </c>
      <c r="E47" s="5">
        <f>C47/'原始数据_财务'!E5</f>
        <v/>
      </c>
      <c r="F47" s="6" t="inlineStr">
        <is>
          <t>收564.90元；二级市场数据</t>
        </is>
      </c>
    </row>
    <row r="48">
      <c r="A48" s="11" t="inlineStr">
        <is>
          <t>注：发行PE按归母口径复算约219倍（与披露219.23倍一致，披露口径为扣非前后孰低摊薄）；首日收盘PE约1,228倍；8月底PE约821倍。</t>
        </is>
      </c>
    </row>
    <row r="50">
      <c r="A50" s="7" t="inlineStr">
        <is>
          <t>10. 人均创收（2025）</t>
        </is>
      </c>
    </row>
    <row r="51">
      <c r="A51" s="4" t="inlineStr">
        <is>
          <t>指标</t>
        </is>
      </c>
      <c r="B51" s="4" t="inlineStr">
        <is>
          <t>数值（万元/人）</t>
        </is>
      </c>
      <c r="C51" s="4" t="inlineStr">
        <is>
          <t>备注</t>
        </is>
      </c>
    </row>
    <row r="52">
      <c r="A52" s="5" t="inlineStr">
        <is>
          <t>2025年人均创收（=营业收入/员工数）</t>
        </is>
      </c>
      <c r="B52" s="5">
        <f>'原始数据_财务'!E5/'原始数据_财务'!B68</f>
        <v/>
      </c>
      <c r="C52" s="6" t="inlineStr">
        <is>
          <t>⚠️员工数516人为猎聘单一来源，待核验</t>
        </is>
      </c>
    </row>
    <row r="54">
      <c r="A54" s="7" t="inlineStr">
        <is>
          <t>11. 2026H1同比指标复算</t>
        </is>
      </c>
    </row>
    <row r="55">
      <c r="A55" s="4" t="inlineStr">
        <is>
          <t>指标</t>
        </is>
      </c>
      <c r="B55" s="4" t="inlineStr">
        <is>
          <t>2026H1（万元，公式引用）</t>
        </is>
      </c>
      <c r="C55" s="4" t="inlineStr">
        <is>
          <t>2025H1基期（万元，倒算）</t>
        </is>
      </c>
      <c r="D55" s="4" t="inlineStr">
        <is>
          <t>同比（复算）</t>
        </is>
      </c>
      <c r="E55" s="4" t="inlineStr">
        <is>
          <t>披露同比</t>
        </is>
      </c>
      <c r="F55" s="4" t="inlineStr">
        <is>
          <t>备注</t>
        </is>
      </c>
    </row>
    <row r="56">
      <c r="A56" s="5" t="inlineStr">
        <is>
          <t>营业收入</t>
        </is>
      </c>
      <c r="B56" s="5">
        <f>'原始数据_财务'!F5</f>
        <v/>
      </c>
      <c r="C56" s="5">
        <f>B56/(1+0.4854)</f>
        <v/>
      </c>
      <c r="D56" s="5">
        <f>B56/C56-1</f>
        <v/>
      </c>
      <c r="E56" s="9" t="n">
        <v>0.4854</v>
      </c>
      <c r="F56" s="6" t="inlineStr">
        <is>
          <t>2025H1基期约7.76亿系倒算⚠️</t>
        </is>
      </c>
    </row>
    <row r="57">
      <c r="A57" s="5" t="inlineStr">
        <is>
          <t>扣非归母净利润</t>
        </is>
      </c>
      <c r="B57" s="5">
        <f>'原始数据_财务'!F7</f>
        <v/>
      </c>
      <c r="C57" s="5">
        <f>B57/(1-0.1934)</f>
        <v/>
      </c>
      <c r="D57" s="5">
        <f>B57/C57-1</f>
        <v/>
      </c>
      <c r="E57" s="9" t="n">
        <v>-0.1934</v>
      </c>
      <c r="F57" s="6" t="inlineStr">
        <is>
          <t>2025H1扣非约3.03亿系倒算⚠️，未见直接披露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趋势图表（顶部为图表数据区，均为公式引用原始数据sheet；下方为7个原生Excel图表）</t>
        </is>
      </c>
    </row>
    <row r="3">
      <c r="A3" s="7" t="inlineStr">
        <is>
          <t>数据区1：营业收入与归母净利润（2022–2025，万元）</t>
        </is>
      </c>
    </row>
    <row r="4">
      <c r="A4" s="4" t="inlineStr">
        <is>
          <t>年度</t>
        </is>
      </c>
      <c r="B4" s="4" t="inlineStr">
        <is>
          <t>营业收入（万元）</t>
        </is>
      </c>
      <c r="C4" s="4" t="inlineStr">
        <is>
          <t>归母净利润（万元）</t>
        </is>
      </c>
    </row>
    <row r="5">
      <c r="A5" s="5" t="n">
        <v>2022</v>
      </c>
      <c r="B5" s="5">
        <f>'原始数据_财务'!B5</f>
        <v/>
      </c>
      <c r="C5" s="5">
        <f>'原始数据_财务'!B6</f>
        <v/>
      </c>
    </row>
    <row r="6">
      <c r="A6" s="5" t="n">
        <v>2023</v>
      </c>
      <c r="B6" s="5">
        <f>'原始数据_财务'!C5</f>
        <v/>
      </c>
      <c r="C6" s="5">
        <f>'原始数据_财务'!C6</f>
        <v/>
      </c>
    </row>
    <row r="7">
      <c r="A7" s="5" t="n">
        <v>2024</v>
      </c>
      <c r="B7" s="5">
        <f>'原始数据_财务'!D5</f>
        <v/>
      </c>
      <c r="C7" s="5">
        <f>'原始数据_财务'!D6</f>
        <v/>
      </c>
    </row>
    <row r="8">
      <c r="A8" s="5" t="n">
        <v>2025</v>
      </c>
      <c r="B8" s="5">
        <f>'原始数据_财务'!E5</f>
        <v/>
      </c>
      <c r="C8" s="5">
        <f>'原始数据_财务'!E6</f>
        <v/>
      </c>
    </row>
    <row r="10">
      <c r="A10" s="7" t="inlineStr">
        <is>
          <t>数据区2：主营业务毛利率与研发费用率（2022–2025）</t>
        </is>
      </c>
    </row>
    <row r="11">
      <c r="A11" s="4" t="inlineStr">
        <is>
          <t>年度</t>
        </is>
      </c>
      <c r="B11" s="4" t="inlineStr">
        <is>
          <t>主营业务毛利率</t>
        </is>
      </c>
      <c r="C11" s="4" t="inlineStr">
        <is>
          <t>研发费用率</t>
        </is>
      </c>
    </row>
    <row r="12">
      <c r="A12" s="5" t="n">
        <v>2022</v>
      </c>
      <c r="B12" s="5">
        <f>'原始数据_财务'!B8</f>
        <v/>
      </c>
      <c r="C12" s="5">
        <f>'原始数据_财务'!B10</f>
        <v/>
      </c>
    </row>
    <row r="13">
      <c r="A13" s="5" t="n">
        <v>2023</v>
      </c>
      <c r="B13" s="5">
        <f>'原始数据_财务'!C8</f>
        <v/>
      </c>
      <c r="C13" s="5">
        <f>'原始数据_财务'!C10</f>
        <v/>
      </c>
    </row>
    <row r="14">
      <c r="A14" s="5" t="n">
        <v>2024</v>
      </c>
      <c r="B14" s="5">
        <f>'原始数据_财务'!D8</f>
        <v/>
      </c>
      <c r="C14" s="5">
        <f>'原始数据_财务'!D10</f>
        <v/>
      </c>
    </row>
    <row r="15">
      <c r="A15" s="5" t="n">
        <v>2025</v>
      </c>
      <c r="B15" s="5">
        <f>'原始数据_财务'!E8</f>
        <v/>
      </c>
      <c r="C15" s="5">
        <f>'原始数据_财务'!E10</f>
        <v/>
      </c>
    </row>
    <row r="17">
      <c r="A17" s="7" t="inlineStr">
        <is>
          <t>数据区3：分产品收入（2023–2025，万元）</t>
        </is>
      </c>
    </row>
    <row r="18">
      <c r="A18" s="4" t="inlineStr">
        <is>
          <t>年度</t>
        </is>
      </c>
      <c r="B18" s="4" t="inlineStr">
        <is>
          <t>四足机器人（万元）</t>
        </is>
      </c>
      <c r="C18" s="4" t="inlineStr">
        <is>
          <t>人形机器人（万元）</t>
        </is>
      </c>
      <c r="D18" s="4" t="inlineStr">
        <is>
          <t>组件及其他（万元）</t>
        </is>
      </c>
    </row>
    <row r="19">
      <c r="A19" s="5" t="n">
        <v>2023</v>
      </c>
      <c r="B19" s="5">
        <f>'原始数据_财务'!B28</f>
        <v/>
      </c>
      <c r="C19" s="5">
        <f>'原始数据_财务'!B29</f>
        <v/>
      </c>
      <c r="D19" s="5">
        <f>'原始数据_财务'!B30</f>
        <v/>
      </c>
    </row>
    <row r="20">
      <c r="A20" s="5" t="n">
        <v>2024</v>
      </c>
      <c r="B20" s="5">
        <f>'原始数据_财务'!D28</f>
        <v/>
      </c>
      <c r="C20" s="5">
        <f>'原始数据_财务'!D29</f>
        <v/>
      </c>
      <c r="D20" s="5">
        <f>'原始数据_财务'!D30</f>
        <v/>
      </c>
    </row>
    <row r="21">
      <c r="A21" s="5" t="n">
        <v>2025</v>
      </c>
      <c r="B21" s="5">
        <f>'原始数据_财务'!F28</f>
        <v/>
      </c>
      <c r="C21" s="5">
        <f>'原始数据_财务'!F29</f>
        <v/>
      </c>
      <c r="D21" s="5">
        <f>'原始数据_财务'!F30</f>
        <v/>
      </c>
    </row>
    <row r="23">
      <c r="A23" s="7" t="inlineStr">
        <is>
          <t>数据区4：人形机器人销量与平均单价（2023/2024/2025年1-9月）</t>
        </is>
      </c>
    </row>
    <row r="24">
      <c r="A24" s="4" t="inlineStr">
        <is>
          <t>期间</t>
        </is>
      </c>
      <c r="B24" s="4" t="inlineStr">
        <is>
          <t>人形销量（台）</t>
        </is>
      </c>
      <c r="C24" s="4" t="inlineStr">
        <is>
          <t>人形平均单价（万元/台）</t>
        </is>
      </c>
    </row>
    <row r="25">
      <c r="A25" s="5" t="inlineStr">
        <is>
          <t>2023</t>
        </is>
      </c>
      <c r="B25" s="5">
        <f>'原始数据_财务'!C49</f>
        <v/>
      </c>
      <c r="C25" s="5">
        <f>'原始数据_财务'!C50</f>
        <v/>
      </c>
    </row>
    <row r="26">
      <c r="A26" s="5" t="inlineStr">
        <is>
          <t>2024</t>
        </is>
      </c>
      <c r="B26" s="5">
        <f>'原始数据_财务'!D49</f>
        <v/>
      </c>
      <c r="C26" s="5">
        <f>'原始数据_财务'!D50</f>
        <v/>
      </c>
    </row>
    <row r="27">
      <c r="A27" s="5" t="inlineStr">
        <is>
          <t>2025年1-9月</t>
        </is>
      </c>
      <c r="B27" s="5">
        <f>'原始数据_财务'!E49</f>
        <v/>
      </c>
      <c r="C27" s="5">
        <f>'原始数据_财务'!E50</f>
        <v/>
      </c>
    </row>
    <row r="29">
      <c r="A29" s="7" t="inlineStr">
        <is>
          <t>数据区5：境外收入与境外占比（2022/2023/2024/2025年1-9月）</t>
        </is>
      </c>
    </row>
    <row r="30">
      <c r="A30" s="4" t="inlineStr">
        <is>
          <t>期间</t>
        </is>
      </c>
      <c r="B30" s="4" t="inlineStr">
        <is>
          <t>境外收入（万元）</t>
        </is>
      </c>
      <c r="C30" s="4" t="inlineStr">
        <is>
          <t>境外占比</t>
        </is>
      </c>
    </row>
    <row r="31">
      <c r="A31" s="5" t="inlineStr">
        <is>
          <t>2022</t>
        </is>
      </c>
      <c r="B31" s="5">
        <f>'原始数据_财务'!B38</f>
        <v/>
      </c>
      <c r="C31" s="5">
        <f>'原始数据_财务'!C38</f>
        <v/>
      </c>
    </row>
    <row r="32">
      <c r="A32" s="5" t="inlineStr">
        <is>
          <t>2023</t>
        </is>
      </c>
      <c r="B32" s="5">
        <f>'原始数据_财务'!B39</f>
        <v/>
      </c>
      <c r="C32" s="5">
        <f>'原始数据_财务'!C39</f>
        <v/>
      </c>
    </row>
    <row r="33">
      <c r="A33" s="5" t="inlineStr">
        <is>
          <t>2024</t>
        </is>
      </c>
      <c r="B33" s="5">
        <f>'原始数据_财务'!B40</f>
        <v/>
      </c>
      <c r="C33" s="5">
        <f>'原始数据_财务'!C40</f>
        <v/>
      </c>
    </row>
    <row r="34">
      <c r="A34" s="5" t="inlineStr">
        <is>
          <t>2025年1-9月</t>
        </is>
      </c>
      <c r="B34" s="5">
        <f>'原始数据_财务'!B41</f>
        <v/>
      </c>
      <c r="C34" s="5">
        <f>'原始数据_财务'!C41</f>
        <v/>
      </c>
    </row>
    <row r="36">
      <c r="A36" s="7" t="inlineStr">
        <is>
          <t>数据区6：经营活动现金流净额（2022–2025，万元）</t>
        </is>
      </c>
    </row>
    <row r="37">
      <c r="A37" s="4" t="inlineStr">
        <is>
          <t>年度</t>
        </is>
      </c>
      <c r="B37" s="4" t="inlineStr">
        <is>
          <t>经营活动现金流净额（万元）</t>
        </is>
      </c>
    </row>
    <row r="38">
      <c r="A38" s="5" t="n">
        <v>2022</v>
      </c>
      <c r="B38" s="5">
        <f>'原始数据_财务'!B11</f>
        <v/>
      </c>
    </row>
    <row r="39">
      <c r="A39" s="5" t="n">
        <v>2023</v>
      </c>
      <c r="B39" s="5">
        <f>'原始数据_财务'!C11</f>
        <v/>
      </c>
    </row>
    <row r="40">
      <c r="A40" s="5" t="n">
        <v>2024</v>
      </c>
      <c r="B40" s="5">
        <f>'原始数据_财务'!D11</f>
        <v/>
      </c>
    </row>
    <row r="41">
      <c r="A41" s="5" t="n">
        <v>2025</v>
      </c>
      <c r="B41" s="5">
        <f>'原始数据_财务'!E11</f>
        <v/>
      </c>
    </row>
    <row r="43">
      <c r="A43" s="7" t="inlineStr">
        <is>
          <t>数据区7：市值轨迹（亿元，二级市场数据）</t>
        </is>
      </c>
    </row>
    <row r="44">
      <c r="A44" s="4" t="inlineStr">
        <is>
          <t>时点</t>
        </is>
      </c>
      <c r="B44" s="4" t="inlineStr">
        <is>
          <t>市值（亿元）</t>
        </is>
      </c>
    </row>
    <row r="45">
      <c r="A45" s="5" t="inlineStr">
        <is>
          <t>发行时</t>
        </is>
      </c>
      <c r="B45" s="5">
        <f>'原始数据_IPO与股东'!B19</f>
        <v/>
      </c>
    </row>
    <row r="46">
      <c r="A46" s="5" t="inlineStr">
        <is>
          <t>首日收盘(08-19)</t>
        </is>
      </c>
      <c r="B46" s="5">
        <f>'原始数据_IPO与股东'!C53</f>
        <v/>
      </c>
    </row>
    <row r="47">
      <c r="A47" s="5" t="inlineStr">
        <is>
          <t>2026-08-20</t>
        </is>
      </c>
      <c r="B47" s="5">
        <f>'原始数据_IPO与股东'!B54*'原始数据_IPO与股东'!B8/10000</f>
        <v/>
      </c>
    </row>
    <row r="48">
      <c r="A48" s="5" t="inlineStr">
        <is>
          <t>2026-08-24</t>
        </is>
      </c>
      <c r="B48" s="5">
        <f>'原始数据_IPO与股东'!C55</f>
        <v/>
      </c>
    </row>
    <row r="49">
      <c r="A49" s="5" t="inlineStr">
        <is>
          <t>2026-08-26</t>
        </is>
      </c>
      <c r="B49" s="5">
        <f>'原始数据_IPO与股东'!B56*'原始数据_IPO与股东'!B8/10000</f>
        <v/>
      </c>
    </row>
    <row r="50">
      <c r="A50" s="5" t="inlineStr">
        <is>
          <t>2026-08-31(补充)</t>
        </is>
      </c>
      <c r="B50" s="5">
        <f>'原始数据_IPO与股东'!C57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分析结论（事实与数字以原始数据sheet为准；🔮=第三方预测，⚠️=待核验）</t>
        </is>
      </c>
    </row>
    <row r="3">
      <c r="A3" s="20" t="inlineStr">
        <is>
          <t>一、成长性</t>
        </is>
      </c>
    </row>
    <row r="4">
      <c r="A4" s="2" t="inlineStr">
        <is>
          <t>· 营业收入由2022年约1.23亿元增至2025年16.99亿元（169,926.93万元），2023–2025年CAGR约226.8%，2025年同比+332.64%。</t>
        </is>
      </c>
    </row>
    <row r="5">
      <c r="A5" s="2" t="inlineStr">
        <is>
          <t>· 2026年上半年营收11.52亿元（+48.54%），增速较2025年回落但仍处高增长区间。</t>
        </is>
      </c>
    </row>
    <row r="6">
      <c r="A6" s="2" t="inlineStr">
        <is>
          <t>· 核心驱动：人形机器人放量（收入由2023年296.71万元增至2025年约8.68亿元）叠加四足机器人稳健增长。</t>
        </is>
      </c>
    </row>
    <row r="7">
      <c r="A7" s="20" t="inlineStr">
        <is>
          <t>二、业务结构切换</t>
        </is>
      </c>
    </row>
    <row r="8">
      <c r="A8" s="2" t="inlineStr">
        <is>
          <t>· 人形机器人收入占比由2023年1.88%升至2025年51.78%，成为第一大产品。</t>
        </is>
      </c>
    </row>
    <row r="9">
      <c r="A9" s="2" t="inlineStr">
        <is>
          <t>· 四足机器人占比降至41.62%，但绝对额仍增至约6.98亿元（全球销量份额60%–70%）。</t>
        </is>
      </c>
    </row>
    <row r="10">
      <c r="A10" s="2" t="inlineStr">
        <is>
          <t>· 人形平均单价由59.34万元/台降至16.76万元/台，以价换量特征明显。</t>
        </is>
      </c>
    </row>
    <row r="11">
      <c r="A11" s="20" t="inlineStr">
        <is>
          <t>三、盈利能力</t>
        </is>
      </c>
    </row>
    <row r="12">
      <c r="A12" s="2" t="inlineStr">
        <is>
          <t>· 2024年实现扭亏（归母净利润9,547.47万元）。</t>
        </is>
      </c>
    </row>
    <row r="13">
      <c r="A13" s="2" t="inlineStr">
        <is>
          <t>· 主营业务毛利率由2023年44.22%持续上行至2025年60.13%（规模效应+高毛利人形占比提升；人形毛利率约62.9%⚠️期间口径待核验）。</t>
        </is>
      </c>
    </row>
    <row r="14">
      <c r="A14" s="2" t="inlineStr">
        <is>
          <t>· 2025年扣非净利率约34.8%。</t>
        </is>
      </c>
    </row>
    <row r="15">
      <c r="A15" s="20" t="inlineStr">
        <is>
          <t>四、盈利质量</t>
        </is>
      </c>
    </row>
    <row r="16">
      <c r="A16" s="2" t="inlineStr">
        <is>
          <t>· 2025年归母（2.78亿元）与扣非（5.91亿元）差异约3.13亿元，主因一次性股份支付3.49亿元（非经常性）。</t>
        </is>
      </c>
    </row>
    <row r="17">
      <c r="A17" s="2" t="inlineStr">
        <is>
          <t>· 2025年经营现金流净额6.70亿元＞扣非净利润，利润含金量高。</t>
        </is>
      </c>
    </row>
    <row r="18">
      <c r="A18" s="2" t="inlineStr">
        <is>
          <t>· 但2026Q1扣非-52.55%、2026H1扣非-19.34%，"增收不增利"——研发（+约152%）、销售（+约250%⚠️）费用高速扩张，是规模扩张期利润承压信号。</t>
        </is>
      </c>
    </row>
    <row r="19">
      <c r="A19" s="20" t="inlineStr">
        <is>
          <t>五、客户与场景</t>
        </is>
      </c>
    </row>
    <row r="20">
      <c r="A20" s="2" t="inlineStr">
        <is>
          <t>· 人形机器人73.6%收入来自科研教育，真实工业场景占比极低（行业应用9.01%）。</t>
        </is>
      </c>
    </row>
    <row r="21">
      <c r="A21" s="2" t="inlineStr">
        <is>
          <t>· 四足机器人商业消费场景9M2025首次超过科研教育（42.30% vs 31.58%）。</t>
        </is>
      </c>
    </row>
    <row r="22">
      <c r="A22" s="2" t="inlineStr">
        <is>
          <t>· 商业化仍处早期，对科研教育采购依赖度高。</t>
        </is>
      </c>
    </row>
    <row r="23">
      <c r="A23" s="20" t="inlineStr">
        <is>
          <t>六、国际化与地缘</t>
        </is>
      </c>
    </row>
    <row r="24">
      <c r="A24" s="2" t="inlineStr">
        <is>
          <t>· 境外收入占比2022–2024年稳定于55%以上，9M2025降至39.2%（国内放量摊薄）。</t>
        </is>
      </c>
    </row>
    <row r="25">
      <c r="A25" s="2" t="inlineStr">
        <is>
          <t>· 2025年美国市场收入占比13.3%（⚠️单一来源）。</t>
        </is>
      </c>
    </row>
    <row r="26">
      <c r="A26" s="2" t="inlineStr">
        <is>
          <t>· 2026-07-28美国FCC禁令（限新型号进口）构成海外扩张不确定性。</t>
        </is>
      </c>
    </row>
    <row r="27">
      <c r="A27" s="20" t="inlineStr">
        <is>
          <t>七、研发与竞争</t>
        </is>
      </c>
    </row>
    <row r="28">
      <c r="A28" s="2" t="inlineStr">
        <is>
          <t>· 2025年研发费用1.45亿元、费用率8.53%，显著低于可比公司均值（9M2025行业均值27.92%）——全栈自研降本路径。</t>
        </is>
      </c>
    </row>
    <row r="29">
      <c r="A29" s="2" t="inlineStr">
        <is>
          <t>· 募投约85%投向研发，押注大模型（WMA/VLA）。</t>
        </is>
      </c>
    </row>
    <row r="30">
      <c r="A30" s="2" t="inlineStr">
        <is>
          <t>· 竞争格局：2025年人形出货全球第一（32.4%，赛迪顾问），但2026H1第三方口径被智元反超（口径差异待核验）。</t>
        </is>
      </c>
    </row>
    <row r="31">
      <c r="A31" s="20" t="inlineStr">
        <is>
          <t>八、估值与市场表现</t>
        </is>
      </c>
    </row>
    <row r="32">
      <c r="A32" s="2" t="inlineStr">
        <is>
          <t>· 发行市盈率219.23倍（行业38.56倍）。</t>
        </is>
      </c>
    </row>
    <row r="33">
      <c r="A33" s="2" t="inlineStr">
        <is>
          <t>· 首日+460.34%后回落，8月底市值约2,285亿元，对应2025年归母PE约821倍——高估值依赖高增长持续兑现。</t>
        </is>
      </c>
    </row>
    <row r="34">
      <c r="A34" s="2" t="inlineStr">
        <is>
          <t>· 流通盘仅7.44%放大波动；机构目标市值（中信506–559亿元，🔮第三方预测）远低于现价，分歧巨大。本底稿不构成投资建议。</t>
        </is>
      </c>
    </row>
    <row r="35">
      <c r="A35" s="20" t="inlineStr">
        <is>
          <t>九、风险</t>
        </is>
      </c>
    </row>
    <row r="36">
      <c r="A36" s="2" t="inlineStr">
        <is>
          <t>· 客户集中于科研教育场景；地缘政治（FCC禁令/涉军清单）。</t>
        </is>
      </c>
    </row>
    <row r="37">
      <c r="A37" s="2" t="inlineStr">
        <is>
          <t>· 以价换量侵蚀毛利的可持续性；费用扩张快于收入。</t>
        </is>
      </c>
    </row>
    <row r="38">
      <c r="A38" s="2" t="inlineStr">
        <is>
          <t>· 限售解禁（2027年起）；正式半年报未披露带来的数据缺口。</t>
        </is>
      </c>
    </row>
    <row r="39">
      <c r="A39" s="20" t="inlineStr">
        <is>
          <t>附：局限与数据口径说明</t>
        </is>
      </c>
    </row>
    <row r="40">
      <c r="A40" s="2" t="inlineStr">
        <is>
          <t>· 2022年数据为申报稿口径，不在注册稿报告期内；2024年注册稿营收精确值未披露，本底稿采用倒算值39,276.6万元。</t>
        </is>
      </c>
    </row>
    <row r="41">
      <c r="A41" s="2" t="inlineStr">
        <is>
          <t>· 部分数据为约数/倒算/单一来源（各sheet备注列已标注"约""倒算""⚠️待核验"），正式半年报披露后应更新。</t>
        </is>
      </c>
    </row>
    <row r="42">
      <c r="A42" s="2" t="inlineStr">
        <is>
          <t>· 机构观点与行业规模数据为第三方预测（🔮），严禁当作事实引用；本底稿仅为数据整理分析，不构成投资建议。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52" customWidth="1" min="4" max="4"/>
    <col width="36" customWidth="1" min="5" max="5"/>
  </cols>
  <sheetData>
    <row r="1">
      <c r="A1" s="1" t="inlineStr">
        <is>
          <t>待核验事项（合并三份调研清单去重；⚠️=单一来源/倒算/约数）</t>
        </is>
      </c>
    </row>
    <row r="2">
      <c r="A2" s="4" t="inlineStr">
        <is>
          <t>序号</t>
        </is>
      </c>
      <c r="B2" s="4" t="inlineStr">
        <is>
          <t>事项</t>
        </is>
      </c>
      <c r="C2" s="4" t="inlineStr">
        <is>
          <t>当前采用值</t>
        </is>
      </c>
      <c r="D2" s="4" t="inlineStr">
        <is>
          <t>问题说明</t>
        </is>
      </c>
      <c r="E2" s="4" t="inlineStr">
        <is>
          <t>建议核验渠道</t>
        </is>
      </c>
    </row>
    <row r="3">
      <c r="A3" s="5" t="n">
        <v>1</v>
      </c>
      <c r="B3" s="6" t="inlineStr">
        <is>
          <t>2024年营业收入（注册稿）精确值</t>
        </is>
      </c>
      <c r="C3" s="6" t="inlineStr">
        <is>
          <t>39,276.6万元（倒算）</t>
        </is>
      </c>
      <c r="D3" s="6" t="inlineStr">
        <is>
          <t>媒体仅报"3.93亿"，按2025年+332.64%反推；申报稿审计值39,237.06万元，两版差约40万元</t>
        </is>
      </c>
      <c r="E3" s="6" t="inlineStr">
        <is>
          <t>招股说明书注册稿/正式稿原文（上交所公告）</t>
        </is>
      </c>
    </row>
    <row r="4">
      <c r="A4" s="5" t="n">
        <v>2</v>
      </c>
      <c r="B4" s="6" t="inlineStr">
        <is>
          <t>2025年末资产负债数据</t>
        </is>
      </c>
      <c r="C4" s="6" t="inlineStr">
        <is>
          <t>总资产321,500/总负债60,200/所有者权益261,300万元</t>
        </is>
      </c>
      <c r="D4" s="6" t="inlineStr">
        <is>
          <t>仅长江商报单一来源；归母所有者权益未见单独披露</t>
        </is>
      </c>
      <c r="E4" s="6" t="inlineStr">
        <is>
          <t>招股说明书正式稿、上市后定期报告</t>
        </is>
      </c>
    </row>
    <row r="5">
      <c r="A5" s="5" t="n">
        <v>3</v>
      </c>
      <c r="B5" s="6" t="inlineStr">
        <is>
          <t>2025年全年分地区收入</t>
        </is>
      </c>
      <c r="C5" s="6" t="inlineStr">
        <is>
          <t>未纳入计算（一说境外73,200万元/43.65%）</t>
        </is>
      </c>
      <c r="D5" s="6" t="inlineStr">
        <is>
          <t>该说与"同比+109.91%"自相矛盾；媒体均止步于9M2025（境外4.53亿/境内7.02亿）</t>
        </is>
      </c>
      <c r="E5" s="6" t="inlineStr">
        <is>
          <t>招股说明书正式稿分地区披露、年报</t>
        </is>
      </c>
    </row>
    <row r="6">
      <c r="A6" s="5" t="n">
        <v>4</v>
      </c>
      <c r="B6" s="6" t="inlineStr">
        <is>
          <t>2025年美国市场收入占比</t>
        </is>
      </c>
      <c r="C6" s="6" t="inlineStr">
        <is>
          <t>13.3%（仅备注引用）</t>
        </is>
      </c>
      <c r="D6" s="6" t="inlineStr">
        <is>
          <t>单一来源（称出自招股意向书风险章节）</t>
        </is>
      </c>
      <c r="E6" s="6" t="inlineStr">
        <is>
          <t>招股意向书风险章节原文</t>
        </is>
      </c>
    </row>
    <row r="7">
      <c r="A7" s="5" t="n">
        <v>5</v>
      </c>
      <c r="B7" s="6" t="inlineStr">
        <is>
          <t>2026H1毛利率/净利率</t>
        </is>
      </c>
      <c r="C7" s="6" t="inlineStr">
        <is>
          <t>综合毛利率56.01%（净利率23.78%未采用）</t>
        </is>
      </c>
      <c r="D7" s="6" t="inlineStr">
        <is>
          <t>单一来源（个人专栏），与归母2.74亿/营收11.52亿自洽但待证实</t>
        </is>
      </c>
      <c r="E7" s="6" t="inlineStr">
        <is>
          <t>2026年半年报（截至2026-08-30未披露）</t>
        </is>
      </c>
    </row>
    <row r="8">
      <c r="A8" s="5" t="n">
        <v>6</v>
      </c>
      <c r="B8" s="6" t="inlineStr">
        <is>
          <t>2026H1费用明细</t>
        </is>
      </c>
      <c r="C8" s="6" t="inlineStr">
        <is>
          <t>研发费用13,600万元（约，+152%）；销售费用+约250%</t>
        </is>
      </c>
      <c r="D8" s="6" t="inlineStr">
        <is>
          <t>源自媒体中报盘点；费用明细待正式半年报确认</t>
        </is>
      </c>
      <c r="E8" s="6" t="inlineStr">
        <is>
          <t>2026年半年报、上市公告书补充</t>
        </is>
      </c>
    </row>
    <row r="9">
      <c r="A9" s="5" t="n">
        <v>7</v>
      </c>
      <c r="B9" s="6" t="inlineStr">
        <is>
          <t>2025年末员工人数</t>
        </is>
      </c>
      <c r="C9" s="6" t="inlineStr">
        <is>
          <t>516人（研发184/销售154/生产123）</t>
        </is>
      </c>
      <c r="D9" s="6" t="inlineStr">
        <is>
          <t>仅猎聘单一来源；与王兴兴"约1000人"（2025-06达沃斯）口径冲突</t>
        </is>
      </c>
      <c r="E9" s="6" t="inlineStr">
        <is>
          <t>定期报告"在职员工总数"披露</t>
        </is>
      </c>
    </row>
    <row r="10">
      <c r="A10" s="5" t="n">
        <v>8</v>
      </c>
      <c r="B10" s="6" t="inlineStr">
        <is>
          <t>人形机器人2025全年销量</t>
        </is>
      </c>
      <c r="C10" s="6" t="inlineStr">
        <is>
          <t>官方出货量口径：超5,500台、全球第一</t>
        </is>
      </c>
      <c r="D10" s="6" t="inlineStr">
        <is>
          <t>芝能科技称5,215台（待核验）；销量≠出货量口径差异</t>
        </is>
      </c>
      <c r="E10" s="6" t="inlineStr">
        <is>
          <t>招股说明书/年报销量披露</t>
        </is>
      </c>
    </row>
    <row r="11">
      <c r="A11" s="5" t="n">
        <v>9</v>
      </c>
      <c r="B11" s="6" t="inlineStr">
        <is>
          <t>四足机器人2025全年销量</t>
        </is>
      </c>
      <c r="C11" s="6" t="inlineStr">
        <is>
          <t>约25,500台（约）</t>
        </is>
      </c>
      <c r="D11" s="6" t="inlineStr">
        <is>
          <t>单一来源（产业通）；官方口径为累计超3.3万台</t>
        </is>
      </c>
      <c r="E11" s="6" t="inlineStr">
        <is>
          <t>年报/官方披露</t>
        </is>
      </c>
    </row>
    <row r="12">
      <c r="A12" s="5" t="n">
        <v>10</v>
      </c>
      <c r="B12" s="6" t="inlineStr">
        <is>
          <t>2025年人形机器人毛利率期间口径</t>
        </is>
      </c>
      <c r="C12" s="6" t="inlineStr">
        <is>
          <t>约62.9%</t>
        </is>
      </c>
      <c r="D12" s="6" t="inlineStr">
        <is>
          <t>全年还是前三季度口径不明；2025全年四足毛利率未见披露</t>
        </is>
      </c>
      <c r="E12" s="6" t="inlineStr">
        <is>
          <t>招股说明书分产品毛利披露</t>
        </is>
      </c>
    </row>
    <row r="13">
      <c r="A13" s="5" t="n">
        <v>11</v>
      </c>
      <c r="B13" s="6" t="inlineStr">
        <is>
          <t>2025H1扣非归母净利润</t>
        </is>
      </c>
      <c r="C13" s="6" t="inlineStr">
        <is>
          <t>约30,260万元（倒算）</t>
        </is>
      </c>
      <c r="D13" s="6" t="inlineStr">
        <is>
          <t>由2026H1同比-19.34%反推，未见直接披露</t>
        </is>
      </c>
      <c r="E13" s="6" t="inlineStr">
        <is>
          <t>上市公告书/2026年半年报</t>
        </is>
      </c>
    </row>
    <row r="14">
      <c r="A14" s="5" t="n">
        <v>12</v>
      </c>
      <c r="B14" s="6" t="inlineStr">
        <is>
          <t>2022年扣非归母净利润</t>
        </is>
      </c>
      <c r="C14" s="6" t="inlineStr">
        <is>
          <t>-807万元（约）</t>
        </is>
      </c>
      <c r="D14" s="6" t="inlineStr">
        <is>
          <t>申报稿口径，不在注册稿报告期内；非精确到元</t>
        </is>
      </c>
      <c r="E14" s="6" t="inlineStr">
        <is>
          <t>申报稿审计报告</t>
        </is>
      </c>
    </row>
    <row r="15">
      <c r="A15" s="5" t="n">
        <v>13</v>
      </c>
      <c r="B15" s="6" t="inlineStr">
        <is>
          <t>C轮投后估值口径</t>
        </is>
      </c>
      <c r="C15" s="6" t="inlineStr">
        <is>
          <t>投后127亿元（招股书口径）</t>
        </is>
      </c>
      <c r="D15" s="6" t="inlineStr">
        <is>
          <t>自媒体另有"133.6亿元"一说，口径冲突</t>
        </is>
      </c>
      <c r="E15" s="6" t="inlineStr">
        <is>
          <t>招股说明书/上市公告书历史沿革</t>
        </is>
      </c>
    </row>
    <row r="16">
      <c r="A16" s="5" t="n">
        <v>14</v>
      </c>
      <c r="B16" s="6" t="inlineStr">
        <is>
          <t>注册生效确切日期</t>
        </is>
      </c>
      <c r="C16" s="6" t="inlineStr">
        <is>
          <t>2026-07-02（批复披露日）</t>
        </is>
      </c>
      <c r="D16" s="6" t="inlineStr">
        <is>
          <t>批复落款07-01，上交所状态07-06变更，存在两种表述</t>
        </is>
      </c>
      <c r="E16" s="6" t="inlineStr">
        <is>
          <t>证监会批复原文（证监许可〔2026〕1612号）</t>
        </is>
      </c>
    </row>
    <row r="17">
      <c r="A17" s="5" t="n">
        <v>15</v>
      </c>
      <c r="B17" s="6" t="inlineStr">
        <is>
          <t>美团B轮领投估值</t>
        </is>
      </c>
      <c r="C17" s="6" t="inlineStr">
        <is>
          <t>未采用（一说约10亿元）</t>
        </is>
      </c>
      <c r="D17" s="6" t="inlineStr">
        <is>
          <t>仅单一自媒体来源</t>
        </is>
      </c>
      <c r="E17" s="6" t="inlineStr">
        <is>
          <t>招股说明书历史沿革章节</t>
        </is>
      </c>
    </row>
    <row r="18">
      <c r="A18" s="5" t="n">
        <v>16</v>
      </c>
      <c r="B18" s="6" t="inlineStr">
        <is>
          <t>超募资金投向</t>
        </is>
      </c>
      <c r="C18" s="6" t="inlineStr">
        <is>
          <t>超募约17.15亿元，用途未披露</t>
        </is>
      </c>
      <c r="D18" s="6" t="inlineStr">
        <is>
          <t>以公司后续公告为准</t>
        </is>
      </c>
      <c r="E18" s="6" t="inlineStr">
        <is>
          <t>公司公告</t>
        </is>
      </c>
    </row>
    <row r="19">
      <c r="A19" s="5" t="n">
        <v>17</v>
      </c>
      <c r="B19" s="6" t="inlineStr">
        <is>
          <t>专利数量口径</t>
        </is>
      </c>
      <c r="C19" s="6" t="inlineStr">
        <is>
          <t>262项专利权（截至2026-01-31，路演口径）</t>
        </is>
      </c>
      <c r="D19" s="6" t="inlineStr">
        <is>
          <t>招聘口径"累计200余项/授权180余项"与企业信息平台"119件"并存</t>
        </is>
      </c>
      <c r="E19" s="6" t="inlineStr">
        <is>
          <t>招股说明书知识产权章节</t>
        </is>
      </c>
    </row>
    <row r="20">
      <c r="A20" s="5" t="n">
        <v>18</v>
      </c>
      <c r="B20" s="6" t="inlineStr">
        <is>
          <t>人形出货量第三方口径差异</t>
        </is>
      </c>
      <c r="C20" s="6" t="inlineStr">
        <is>
          <t>官方口径5,500+台/份额32.4%（赛迪）</t>
        </is>
      </c>
      <c r="D20" s="6" t="inlineStr">
        <is>
          <t>Omdia 4,200台、Counterpoint 26.4%（出货/装机、是否含轮式口径不同）</t>
        </is>
      </c>
      <c r="E20" s="6" t="inlineStr">
        <is>
          <t>GGII/Omdia/Counterpoint原版报告</t>
        </is>
      </c>
    </row>
    <row r="21">
      <c r="A21" s="5" t="n">
        <v>19</v>
      </c>
      <c r="B21" s="6" t="inlineStr">
        <is>
          <t>2026年正式半年报</t>
        </is>
      </c>
      <c r="C21" s="6" t="inlineStr">
        <is>
          <t>未披露（2026H1数据以上市公告书为准）</t>
        </is>
      </c>
      <c r="D21" s="6" t="inlineStr">
        <is>
          <t>经上交所公告列表核实，截至2026-08-30未披露半年报；后续需跟踪三季报/年报</t>
        </is>
      </c>
      <c r="E21" s="6" t="inlineStr">
        <is>
          <t>上交所688836公告列表持续跟踪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2026-09-03T16:58:47Z</dcterms:created>
  <dcterms:modified xmlns:dcterms="http://purl.org/dc/terms/" xmlns:xsi="http://www.w3.org/2001/XMLSchema-instance" xsi:type="dcterms:W3CDTF">2026-09-03T17:08:56Z</dcterms:modified>
</cp:coreProperties>
</file>
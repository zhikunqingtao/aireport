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口径" sheetId="1" state="visible" r:id="rId1"/>
    <sheet name="资料来源" sheetId="2" state="visible" r:id="rId2"/>
    <sheet name="原始数据-财务" sheetId="3" state="visible" r:id="rId3"/>
    <sheet name="原始数据-业务" sheetId="4" state="visible" r:id="rId4"/>
    <sheet name="核心计算" sheetId="5" state="visible" r:id="rId5"/>
    <sheet name="趋势图表" sheetId="6" state="visible" r:id="rId6"/>
    <sheet name="分析结论" sheetId="7" state="visible" r:id="rId7"/>
    <sheet name="预测参考(非事实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0.00%;[Red]-0.00%"/>
    <numFmt numFmtId="166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FF2F5597"/>
      <sz val="14"/>
    </font>
    <font>
      <name val="微软雅黑"/>
      <b val="1"/>
      <color rgb="FFFFFFFF"/>
      <sz val="10"/>
    </font>
    <font>
      <name val="微软雅黑"/>
      <b val="1"/>
      <color rgb="FF2F5597"/>
      <sz val="11"/>
    </font>
    <font>
      <name val="微软雅黑"/>
      <sz val="10"/>
    </font>
    <font>
      <name val="微软雅黑"/>
      <b val="1"/>
      <sz val="10"/>
    </font>
    <font>
      <name val="微软雅黑"/>
      <color rgb="00595959"/>
      <sz val="9"/>
    </font>
    <font>
      <name val="微软雅黑"/>
      <b val="1"/>
      <color rgb="FF9C0006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微软雅黑"/>
        <color rgb="FF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营业收入及同比增速（2022-2025）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'趋势图表'!B4</f>
            </strRef>
          </tx>
          <spPr>
            <a:ln>
              <a:prstDash val="solid"/>
            </a:ln>
          </spPr>
          <cat>
            <numRef>
              <f>'趋势图表'!$A$5:$A$8</f>
            </numRef>
          </cat>
          <val>
            <numRef>
              <f>'趋势图表'!$B$5:$B$8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'趋势图表'!C4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'趋势图表'!$C$5:$C$8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营业收入（亿元）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同比增速（%）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归母净利润与扣非归母净利润（2022-2025）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'趋势图表'!B12</f>
            </strRef>
          </tx>
          <spPr>
            <a:ln>
              <a:prstDash val="solid"/>
            </a:ln>
          </spPr>
          <cat>
            <numRef>
              <f>'趋势图表'!$A$13:$A$16</f>
            </numRef>
          </cat>
          <val>
            <numRef>
              <f>'趋势图表'!$B$13:$B$16</f>
            </numRef>
          </val>
        </ser>
        <ser>
          <idx val="1"/>
          <order val="1"/>
          <tx>
            <strRef>
              <f>'趋势图表'!C12</f>
            </strRef>
          </tx>
          <spPr>
            <a:ln>
              <a:prstDash val="solid"/>
            </a:ln>
          </spPr>
          <cat>
            <numRef>
              <f>'趋势图表'!$A$13:$A$16</f>
            </numRef>
          </cat>
          <val>
            <numRef>
              <f>'趋势图表'!$C$13:$C$16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主营业务毛利率与扣非归母净利率（2022-2025）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'趋势图表'!B20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'趋势图表'!$A$21:$A$24</f>
            </numRef>
          </cat>
          <val>
            <numRef>
              <f>'趋势图表'!$B$21:$B$24</f>
            </numRef>
          </val>
        </ser>
        <ser>
          <idx val="1"/>
          <order val="1"/>
          <tx>
            <strRef>
              <f>'趋势图表'!C20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'趋势图表'!$A$21:$A$24</f>
            </numRef>
          </cat>
          <val>
            <numRef>
              <f>'趋势图表'!$C$21:$C$24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2025年度收入结构（按产品）</a:t>
            </a:r>
          </a:p>
        </rich>
      </tx>
    </title>
    <plotArea>
      <pieChart>
        <varyColors val="1"/>
        <ser>
          <idx val="0"/>
          <order val="0"/>
          <tx>
            <strRef>
              <f>'趋势图表'!B28</f>
            </strRef>
          </tx>
          <spPr>
            <a:ln>
              <a:prstDash val="solid"/>
            </a:ln>
          </spPr>
          <cat>
            <numRef>
              <f>'趋势图表'!$A$29:$A$32</f>
            </numRef>
          </cat>
          <val>
            <numRef>
              <f>'趋势图表'!$B$29:$B$32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人形机器人收入占比（2023-2025）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'趋势图表'!B36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'趋势图表'!$A$37:$A$39</f>
            </numRef>
          </cat>
          <val>
            <numRef>
              <f>'趋势图表'!$B$37:$B$39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36</row>
      <rowOff>0</rowOff>
    </from>
    <ext cx="57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53</row>
      <rowOff>0</rowOff>
    </from>
    <ext cx="57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70</row>
      <rowOff>0</rowOff>
    </from>
    <ext cx="576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宇树科技经营与财务分析底稿——编制说明与口径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分析对象</t>
        </is>
      </c>
      <c r="B3" s="4" t="inlineStr">
        <is>
          <t>宇树科技股份有限公司（证券代码：688836.SH，证券简称：宇树科技-W），高性能通用人形机器人、四足机器人、机器人组件及具身智能模型的研发、生产和销售。</t>
        </is>
      </c>
    </row>
    <row r="4">
      <c r="A4" s="3" t="inlineStr">
        <is>
          <t>资料截止时间</t>
        </is>
      </c>
      <c r="B4" s="4" t="inlineStr">
        <is>
          <t>2026年8月30日（上市后二级市场数据仅采用截至该日的公开信息）。</t>
        </is>
      </c>
    </row>
    <row r="5">
      <c r="A5" s="3" t="inlineStr">
        <is>
          <t>编制时间</t>
        </is>
      </c>
      <c r="B5" s="4" t="inlineStr">
        <is>
          <t>2026年9月4日。</t>
        </is>
      </c>
    </row>
    <row r="6">
      <c r="A6" s="3" t="inlineStr">
        <is>
          <t>金额单位</t>
        </is>
      </c>
      <c r="B6" s="4" t="inlineStr">
        <is>
          <t>人民币万元（另标注除外；图表中为亿元）。百分比均以百分数列示。</t>
        </is>
      </c>
    </row>
    <row r="7">
      <c r="A7" s="3" t="inlineStr">
        <is>
          <t>报告期口径</t>
        </is>
      </c>
      <c r="B7" s="4" t="inlineStr">
        <is>
          <t>年度：2022/2023/2024/2025年度；期间：2025H1（上半年）、2025Q1-3（前三季度）、2026Q1（一季度）、2026H1（上半年）。同比比较一律采用相同报告期口径（如2026H1对2025H1）。</t>
        </is>
      </c>
    </row>
    <row r="8">
      <c r="A8" s="3" t="inlineStr">
        <is>
          <t>资料优先级</t>
        </is>
      </c>
      <c r="B8" s="4" t="inlineStr">
        <is>
          <t>A级：上交所披露文件（招股说明书申报稿、科创板上市公告书、定期报告）；B级：公司官方公开资料（官网等）；C级：权威财经媒体报道（证券时报、21世纪经济报道、中新经纬、中国经济网等，用于交叉验证）；D级：据披露增速反推的推算值（均已在表中标注）。</t>
        </is>
      </c>
    </row>
    <row r="9">
      <c r="A9" s="3" t="inlineStr">
        <is>
          <t>数据性质标注</t>
        </is>
      </c>
      <c r="B9" s="4" t="inlineStr">
        <is>
          <t>原始数据表中每行均标注数据性质；推算值、约数均写入备注，未将任何预测数据当作已发生事实（机构预测单独存放于“预测参考(非事实)”表）。</t>
        </is>
      </c>
    </row>
    <row r="10">
      <c r="A10" s="3" t="inlineStr">
        <is>
          <t>重要口径差异提示1</t>
        </is>
      </c>
      <c r="B10" s="4" t="inlineStr">
        <is>
          <t>2025年度营业收入：招股说明书申报稿（2026-03-20受理稿）披露为17.08亿元；科创板上市公告书/年报口径为16.99亿元（169,926.93万元）。本底稿以16.99亿元（上市公告书/年报口径）为准，差异原因待核对原文。</t>
        </is>
      </c>
    </row>
    <row r="11">
      <c r="A11" s="3" t="inlineStr">
        <is>
          <t>重要口径差异提示2</t>
        </is>
      </c>
      <c r="B11" s="4" t="inlineStr">
        <is>
          <t>毛利率存在“主营业务毛利率”（招股书口径）与“销售毛利率”（整体报表口径）两套数据，且招股书不同版本（申报稿/上会稿）数字略有差异，本底稿分两行分别列示并在备注中说明。</t>
        </is>
      </c>
    </row>
    <row r="12">
      <c r="A12" s="3" t="inlineStr">
        <is>
          <t>重要口径差异提示3</t>
        </is>
      </c>
      <c r="B12" s="4" t="inlineStr">
        <is>
          <t>2025年归母净利润约2.78亿元、净利润（含少数股东）约2.88亿元，媒体转引存在2.78/2.88亿元两种表述，疑为归母与含少数股东口径之别，精确值需以2025年年度报告为准。</t>
        </is>
      </c>
    </row>
    <row r="13">
      <c r="A13" s="3" t="inlineStr">
        <is>
          <t>编辑说明</t>
        </is>
      </c>
      <c r="B13" s="4" t="inlineStr">
        <is>
          <t>本工作簿为可编辑底稿：黄色浅底区域为计算区（含公式，请勿直接覆盖）；修改原始数据后，核心计算与图表数据将联动更新。</t>
        </is>
      </c>
    </row>
    <row r="14">
      <c r="A14" s="3" t="inlineStr">
        <is>
          <t>免责声明</t>
        </is>
      </c>
      <c r="B14" s="4" t="inlineStr">
        <is>
          <t>本底稿基于公开信息整理，仅供研究参考，不构成投资建议。所引媒体与券商数据未经审计，使用前请按“待人工核验清单”逐项核对交易所披露原文。</t>
        </is>
      </c>
    </row>
    <row r="16">
      <c r="A16" s="5" t="inlineStr">
        <is>
          <t>待人工核验清单（使用前请逐项核对披露原文）</t>
        </is>
      </c>
    </row>
    <row r="17">
      <c r="A17" s="6" t="inlineStr">
        <is>
          <t>1. 2025年度归母净利润精确值（媒体口径2.78亿/2.88亿元并存，需以2025年年报利润表为准）。</t>
        </is>
      </c>
    </row>
    <row r="18">
      <c r="A18" s="6" t="inlineStr">
        <is>
          <t>2. 2025年度营收申报稿17.08亿元与年报16.99亿元差异原因（是否审计调整），需核对年报原文。</t>
        </is>
      </c>
    </row>
    <row r="19">
      <c r="A19" s="6" t="inlineStr">
        <is>
          <t>3. 2024年研发费用精确值：本文按“研发费用率17.8%×营收”推算约6,983万元，需以年报为准。</t>
        </is>
      </c>
    </row>
    <row r="20">
      <c r="A20" s="6" t="inlineStr">
        <is>
          <t>4. 2022年扣非归母净利润-807万元为媒体转引招股书数据，精确到元的数值待核。</t>
        </is>
      </c>
    </row>
    <row r="21">
      <c r="A21" s="6" t="inlineStr">
        <is>
          <t>5. 各期毛利率“主营/整体”口径及申报稿与上会稿版本差异，需对照招股书原文核对。</t>
        </is>
      </c>
    </row>
    <row r="22">
      <c r="A22" s="6" t="inlineStr">
        <is>
          <t>6. 经营活动现金流净额为约数（2025年“超6.7亿元”、2024年约1.9亿元为按“增加4.8亿元”反推），需以现金流量表为准。</t>
        </is>
      </c>
    </row>
    <row r="23">
      <c r="A23" s="6" t="inlineStr">
        <is>
          <t>7. 2025H1营收77,560万元、扣非30,250万元系按2026H1披露同比增速反推，需与2025年半年度报告核对。</t>
        </is>
      </c>
    </row>
    <row r="24">
      <c r="A24" s="6" t="inlineStr">
        <is>
          <t>8. 历史收入结构占比（人形1.88%/27.6%等）的分母为主营业务收入口径，需核对招股书分部数据表。</t>
        </is>
      </c>
    </row>
    <row r="25">
      <c r="A25" s="6" t="inlineStr">
        <is>
          <t>9. 资产总额/流动资产2025年末数为按2026H1披露增幅反推，需与2025年报资产负债表核对。</t>
        </is>
      </c>
    </row>
    <row r="26">
      <c r="A26" s="6" t="inlineStr">
        <is>
          <t>10. 券商盈利预测（野村、招商证券）来自媒体转引，未经研报原文核验，仅供方向性参考。</t>
        </is>
      </c>
    </row>
  </sheetData>
  <mergeCells count="12">
    <mergeCell ref="A20:B20"/>
    <mergeCell ref="A21:B21"/>
    <mergeCell ref="A16:B16"/>
    <mergeCell ref="A24:B24"/>
    <mergeCell ref="A26:B26"/>
    <mergeCell ref="A25:B25"/>
    <mergeCell ref="A19:B19"/>
    <mergeCell ref="A23:B23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4" customWidth="1" min="5" max="5"/>
    <col width="16" customWidth="1" min="6" max="6"/>
    <col width="42" customWidth="1" min="7" max="7"/>
    <col width="30" customWidth="1" min="8" max="8"/>
    <col width="28" customWidth="1" min="9" max="9"/>
  </cols>
  <sheetData>
    <row r="1">
      <c r="A1" s="1" t="inlineStr">
        <is>
          <t>资料来源清单（按优先级排序，资料截止2026-08-30）</t>
        </is>
      </c>
    </row>
    <row r="2">
      <c r="A2" s="2" t="inlineStr">
        <is>
          <t>序号</t>
        </is>
      </c>
      <c r="B2" s="2" t="inlineStr">
        <is>
          <t>资料名称</t>
        </is>
      </c>
      <c r="C2" s="2" t="inlineStr">
        <is>
          <t>资料类型</t>
        </is>
      </c>
      <c r="D2" s="2" t="inlineStr">
        <is>
          <t>披露/发布方</t>
        </is>
      </c>
      <c r="E2" s="2" t="inlineStr">
        <is>
          <t>披露/发布日期</t>
        </is>
      </c>
      <c r="F2" s="2" t="inlineStr">
        <is>
          <t>涉及报告期</t>
        </is>
      </c>
      <c r="G2" s="2" t="inlineStr">
        <is>
          <t>主要引用数据</t>
        </is>
      </c>
      <c r="H2" s="2" t="inlineStr">
        <is>
          <t>链接</t>
        </is>
      </c>
      <c r="I2" s="2" t="inlineStr">
        <is>
          <t>备注</t>
        </is>
      </c>
    </row>
    <row r="3">
      <c r="A3" s="7" t="n">
        <v>1</v>
      </c>
      <c r="B3" s="4" t="inlineStr">
        <is>
          <t>宇树科技首次公开发行股票并在科创板上市招股说明书（申报稿）</t>
        </is>
      </c>
      <c r="C3" s="4" t="inlineStr">
        <is>
          <t>交易所披露文件（A级）</t>
        </is>
      </c>
      <c r="D3" s="4" t="inlineStr">
        <is>
          <t>上海证券交易所/宇树科技</t>
        </is>
      </c>
      <c r="E3" s="4" t="inlineStr">
        <is>
          <t>2026-03-20（受理日披露）</t>
        </is>
      </c>
      <c r="F3" s="4" t="inlineStr">
        <is>
          <t>2022-2025年度、2025Q1-3</t>
        </is>
      </c>
      <c r="G3" s="4" t="inlineStr">
        <is>
          <t>营收、归母净利、扣非净利、主营业务毛利率、收入结构、销量、募投计划、2026H1业绩预告</t>
        </is>
      </c>
      <c r="H3" s="4" t="inlineStr">
        <is>
          <t>www.sse.com.cn（发行上市审核项目页面）</t>
        </is>
      </c>
      <c r="I3" s="4" t="inlineStr">
        <is>
          <t>IPO受理稿，申报口径财务数据</t>
        </is>
      </c>
    </row>
    <row r="4">
      <c r="A4" s="7" t="n">
        <v>2</v>
      </c>
      <c r="B4" s="4" t="inlineStr">
        <is>
          <t>首次公开发行股票科创板上市公告书（含2026年上半年业绩更新）</t>
        </is>
      </c>
      <c r="C4" s="4" t="inlineStr">
        <is>
          <t>交易所披露文件（A级）</t>
        </is>
      </c>
      <c r="D4" s="4" t="inlineStr">
        <is>
          <t>上海证券交易所/宇树科技</t>
        </is>
      </c>
      <c r="E4" s="4" t="inlineStr">
        <is>
          <t>2026-08-17</t>
        </is>
      </c>
      <c r="F4" s="4" t="inlineStr">
        <is>
          <t>2026H1、2025H1（对比数）、2025年度</t>
        </is>
      </c>
      <c r="G4" s="4" t="inlineStr">
        <is>
          <t>2026H1营收11.52亿元/归母2.74亿元/扣非2.44亿元、总资产38.45亿元、增速与费用变动说明</t>
        </is>
      </c>
      <c r="H4" s="4" t="inlineStr">
        <is>
          <t>www.sse.com.cn</t>
        </is>
      </c>
      <c r="I4" s="4" t="inlineStr">
        <is>
          <t>2026-08-19上市前披露，上市后首份经审阅半年数据</t>
        </is>
      </c>
    </row>
    <row r="5">
      <c r="A5" s="7" t="n">
        <v>3</v>
      </c>
      <c r="B5" s="4" t="inlineStr">
        <is>
          <t>宇树科技2025年年度报告（688836）</t>
        </is>
      </c>
      <c r="C5" s="4" t="inlineStr">
        <is>
          <t>定期报告（A级）</t>
        </is>
      </c>
      <c r="D5" s="4" t="inlineStr">
        <is>
          <t>宇树科技</t>
        </is>
      </c>
      <c r="E5" s="4" t="inlineStr">
        <is>
          <t>2026年上半年披露</t>
        </is>
      </c>
      <c r="F5" s="4" t="inlineStr">
        <is>
          <t>2025年度</t>
        </is>
      </c>
      <c r="G5" s="4" t="inlineStr">
        <is>
          <t>2025年度收入构成（产品/地域）、研发费用14,496.56万元、销售毛利率60.44%、净利润数据</t>
        </is>
      </c>
      <c r="H5" s="4" t="inlineStr">
        <is>
          <t>www.sse.com.cn</t>
        </is>
      </c>
      <c r="I5" s="4" t="inlineStr">
        <is>
          <t>A股财务数据库转引年报数据，建议核对年报原文</t>
        </is>
      </c>
    </row>
    <row r="6">
      <c r="A6" s="7" t="n">
        <v>4</v>
      </c>
      <c r="B6" s="4" t="inlineStr">
        <is>
          <t>宇树科技2026年第一季度报告（688836）</t>
        </is>
      </c>
      <c r="C6" s="4" t="inlineStr">
        <is>
          <t>定期报告（A级）</t>
        </is>
      </c>
      <c r="D6" s="4" t="inlineStr">
        <is>
          <t>宇树科技</t>
        </is>
      </c>
      <c r="E6" s="4" t="inlineStr">
        <is>
          <t>2026年4月</t>
        </is>
      </c>
      <c r="F6" s="4" t="inlineStr">
        <is>
          <t>2026Q1、2025Q1</t>
        </is>
      </c>
      <c r="G6" s="4" t="inlineStr">
        <is>
          <t>2026Q1营收42,284.05万元（+68.49%）、扣非4,025.36万元（-52.55%）、毛利率58.42%、研发费用6,319.31万元</t>
        </is>
      </c>
      <c r="H6" s="4" t="inlineStr">
        <is>
          <t>www.sse.com.cn</t>
        </is>
      </c>
      <c r="I6" s="4" t="inlineStr">
        <is>
          <t>媒体及行情数据库转引，建议核对原文</t>
        </is>
      </c>
    </row>
    <row r="7">
      <c r="A7" s="7" t="n">
        <v>5</v>
      </c>
      <c r="B7" s="4" t="inlineStr">
        <is>
          <t>宇树科技官方网站及官方公开信息</t>
        </is>
      </c>
      <c r="C7" s="4" t="inlineStr">
        <is>
          <t>官方公开资料（B级）</t>
        </is>
      </c>
      <c r="D7" s="4" t="inlineStr">
        <is>
          <t>宇树科技</t>
        </is>
      </c>
      <c r="E7" s="4" t="inlineStr">
        <is>
          <t>持续更新</t>
        </is>
      </c>
      <c r="F7" s="4" t="inlineStr">
        <is>
          <t>——</t>
        </is>
      </c>
      <c r="G7" s="4" t="inlineStr">
        <is>
          <t>公司业务描述、产品矩阵（H1/G1/G2/H2/B2/Go2等）、组织与招聘信息</t>
        </is>
      </c>
      <c r="H7" s="4" t="inlineStr">
        <is>
          <t>www.unitree.com</t>
        </is>
      </c>
      <c r="I7" s="4" t="inlineStr">
        <is>
          <t>非财务数据来源</t>
        </is>
      </c>
    </row>
    <row r="8">
      <c r="A8" s="7" t="n">
        <v>6</v>
      </c>
      <c r="B8" s="4" t="inlineStr">
        <is>
          <t>证券时报、21世纪经济报道、中新经纬、中国经济网、广州日报等报道</t>
        </is>
      </c>
      <c r="C8" s="4" t="inlineStr">
        <is>
          <t>权威财经媒体（C级）</t>
        </is>
      </c>
      <c r="D8" s="4" t="inlineStr">
        <is>
          <t>各媒体</t>
        </is>
      </c>
      <c r="E8" s="4" t="inlineStr">
        <is>
          <t>2026-03至2026-09</t>
        </is>
      </c>
      <c r="F8" s="4" t="inlineStr">
        <is>
          <t>全期间</t>
        </is>
      </c>
      <c r="G8" s="4" t="inlineStr">
        <is>
          <t>IPO进展、上市首日行情、2026H1业绩解读、股东结构（王兴兴持股23.8216%）等交叉验证信息</t>
        </is>
      </c>
      <c r="H8" s="4" t="inlineStr">
        <is>
          <t>egs.stcn.com/news/detail/2255406.html 等多篇文章</t>
        </is>
      </c>
      <c r="I8" s="4" t="inlineStr">
        <is>
          <t>用于交叉验证与背景信息，关键数据已与A级来源比对</t>
        </is>
      </c>
    </row>
    <row r="9">
      <c r="A9" s="7" t="n">
        <v>7</v>
      </c>
      <c r="B9" s="4" t="inlineStr">
        <is>
          <t>华源证券等券商研究报告（媒体/知识库转引）</t>
        </is>
      </c>
      <c r="C9" s="4" t="inlineStr">
        <is>
          <t>券商研究（C级）</t>
        </is>
      </c>
      <c r="D9" s="4" t="inlineStr">
        <is>
          <t>华源证券等</t>
        </is>
      </c>
      <c r="E9" s="4" t="inlineStr">
        <is>
          <t>2026年</t>
        </is>
      </c>
      <c r="F9" s="4" t="inlineStr">
        <is>
          <t>2023-2025、2026Q1</t>
        </is>
      </c>
      <c r="G9" s="4" t="inlineStr">
        <is>
          <t>费用率拆分（销售/管理/研发/财务）、扣非净利率、分产品毛利率、2026Q2盈利预测</t>
        </is>
      </c>
      <c r="H9" s="4" t="inlineStr">
        <is>
          <t>第三方知识库转引</t>
        </is>
      </c>
      <c r="I9" s="4" t="inlineStr">
        <is>
          <t>未经原文核验，仅作交叉参考；预测内容已归入“预测参考(非事实)”表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60" customWidth="1" min="12" max="12"/>
  </cols>
  <sheetData>
    <row r="1">
      <c r="A1" s="1" t="inlineStr">
        <is>
          <t>原始财务数据（单位：人民币万元；百分比为小数格式）</t>
        </is>
      </c>
    </row>
    <row r="2">
      <c r="A2" s="2" t="inlineStr">
        <is>
          <t>指标</t>
        </is>
      </c>
      <c r="B2" s="2" t="inlineStr">
        <is>
          <t>单位</t>
        </is>
      </c>
      <c r="C2" s="2" t="inlineStr">
        <is>
          <t>2022年度</t>
        </is>
      </c>
      <c r="D2" s="2" t="inlineStr">
        <is>
          <t>2023年度</t>
        </is>
      </c>
      <c r="E2" s="2" t="inlineStr">
        <is>
          <t>2024年度</t>
        </is>
      </c>
      <c r="F2" s="2" t="inlineStr">
        <is>
          <t>2025年度</t>
        </is>
      </c>
      <c r="G2" s="2" t="inlineStr">
        <is>
          <t>2025H1</t>
        </is>
      </c>
      <c r="H2" s="2" t="inlineStr">
        <is>
          <t>2025Q1-3</t>
        </is>
      </c>
      <c r="I2" s="2" t="inlineStr">
        <is>
          <t>2026Q1</t>
        </is>
      </c>
      <c r="J2" s="2" t="inlineStr">
        <is>
          <t>2026H1</t>
        </is>
      </c>
      <c r="K2" s="2" t="inlineStr">
        <is>
          <t>数据性质</t>
        </is>
      </c>
      <c r="L2" s="2" t="inlineStr">
        <is>
          <t>备注（口径与来源）</t>
        </is>
      </c>
    </row>
    <row r="3">
      <c r="A3" s="3" t="inlineStr">
        <is>
          <t>营业收入</t>
        </is>
      </c>
      <c r="B3" s="8" t="inlineStr">
        <is>
          <t>万元</t>
        </is>
      </c>
      <c r="C3" s="9" t="n">
        <v>12291.95</v>
      </c>
      <c r="D3" s="9" t="n">
        <v>15913.44</v>
      </c>
      <c r="E3" s="9" t="n">
        <v>39237.06</v>
      </c>
      <c r="F3" s="9" t="n">
        <v>169926.93</v>
      </c>
      <c r="G3" s="9" t="n">
        <v>77560</v>
      </c>
      <c r="H3" s="9" t="n">
        <v>116700</v>
      </c>
      <c r="I3" s="9" t="n">
        <v>42284.05</v>
      </c>
      <c r="J3" s="9" t="n">
        <v>115224.56</v>
      </c>
      <c r="K3" s="7" t="inlineStr">
        <is>
          <t>披露为主</t>
        </is>
      </c>
      <c r="L3" s="4" t="inlineStr">
        <is>
          <t>2022-2024及2026H1为交易所/数据库精确值；2025年度为上市公告书口径169,926.93万元（申报稿口径17.08亿元，见说明表）；2025Q1-3为招股书约数11.67亿元；2025H1为按2026H1同比+48.54%反推的推算值；2026Q1为一季报精确值42,284.05万元。</t>
        </is>
      </c>
    </row>
    <row r="4">
      <c r="A4" s="3" t="inlineStr">
        <is>
          <t>归母净利润</t>
        </is>
      </c>
      <c r="B4" s="8" t="inlineStr">
        <is>
          <t>万元</t>
        </is>
      </c>
      <c r="C4" s="9" t="n">
        <v>-2210.05</v>
      </c>
      <c r="D4" s="9" t="n">
        <v>-1114.51</v>
      </c>
      <c r="E4" s="9" t="n">
        <v>9450.18</v>
      </c>
      <c r="F4" s="9" t="n">
        <v>27800</v>
      </c>
      <c r="G4" s="9" t="n">
        <v>-3202.45</v>
      </c>
      <c r="H4" s="9" t="n">
        <v>10500</v>
      </c>
      <c r="I4" s="8" t="n"/>
      <c r="J4" s="9" t="n">
        <v>27400</v>
      </c>
      <c r="K4" s="7" t="inlineStr">
        <is>
          <t>披露为主</t>
        </is>
      </c>
      <c r="L4" s="4" t="inlineStr">
        <is>
          <t>2022-2024及2025H1、2026H1（273,999,911.92元）为披露值；2025年度约2.78亿元为媒体转引（另有含少数股东口径约2.88亿元），精确值待核年报；2025Q1-3约1.05亿元。</t>
        </is>
      </c>
    </row>
    <row r="5">
      <c r="A5" s="3" t="inlineStr">
        <is>
          <t>净利润（含少数股东）</t>
        </is>
      </c>
      <c r="B5" s="8" t="inlineStr">
        <is>
          <t>万元</t>
        </is>
      </c>
      <c r="C5" s="8" t="n"/>
      <c r="D5" s="8" t="n"/>
      <c r="E5" s="9" t="n">
        <v>9547.469999999999</v>
      </c>
      <c r="F5" s="9" t="n">
        <v>28800</v>
      </c>
      <c r="G5" s="8" t="n"/>
      <c r="H5" s="8" t="n"/>
      <c r="I5" s="8" t="n"/>
      <c r="J5" s="8" t="n"/>
      <c r="K5" s="7" t="inlineStr">
        <is>
          <t>媒体报道</t>
        </is>
      </c>
      <c r="L5" s="4" t="inlineStr">
        <is>
          <t>2024年9,547.47万元、2025年约2.88亿元（媒体转引招股书/上会稿），与归母口径差异为少数股东损益。</t>
        </is>
      </c>
    </row>
    <row r="6">
      <c r="A6" s="3" t="inlineStr">
        <is>
          <t>扣非归母净利润</t>
        </is>
      </c>
      <c r="B6" s="8" t="inlineStr">
        <is>
          <t>万元</t>
        </is>
      </c>
      <c r="C6" s="9" t="n">
        <v>-807</v>
      </c>
      <c r="D6" s="9" t="n">
        <v>-1801.91</v>
      </c>
      <c r="E6" s="9" t="n">
        <v>7750</v>
      </c>
      <c r="F6" s="9" t="n">
        <v>59075.28</v>
      </c>
      <c r="G6" s="9" t="n">
        <v>30250</v>
      </c>
      <c r="H6" s="9" t="n">
        <v>43100</v>
      </c>
      <c r="I6" s="9" t="n">
        <v>4025.36</v>
      </c>
      <c r="J6" s="9" t="n">
        <v>24400</v>
      </c>
      <c r="K6" s="7" t="inlineStr">
        <is>
          <t>披露为主</t>
        </is>
      </c>
      <c r="L6" s="4" t="inlineStr">
        <is>
          <t>2025年度59,075.28万元为上市公告书口径；2024年7,750万元为申报稿披露（按2025年+652.78%推算约7,845万元，存在小幅版本差异）；2025H1为按2026H1同比-19.34%反推的推算值；2026Q1为4,025.36万元。</t>
        </is>
      </c>
    </row>
    <row r="7">
      <c r="A7" s="3" t="inlineStr">
        <is>
          <t>主营业务毛利率</t>
        </is>
      </c>
      <c r="B7" s="8" t="inlineStr">
        <is>
          <t>%</t>
        </is>
      </c>
      <c r="C7" s="10" t="n">
        <v>0.4418</v>
      </c>
      <c r="D7" s="10" t="n">
        <v>0.4422</v>
      </c>
      <c r="E7" s="10" t="n">
        <v>0.5641</v>
      </c>
      <c r="F7" s="10" t="n">
        <v>0.6027</v>
      </c>
      <c r="G7" s="8" t="n"/>
      <c r="H7" s="10" t="n">
        <v>0.5945</v>
      </c>
      <c r="I7" s="8" t="n"/>
      <c r="J7" s="8" t="n"/>
      <c r="K7" s="7" t="inlineStr">
        <is>
          <t>披露（招股书）</t>
        </is>
      </c>
      <c r="L7" s="4" t="inlineStr">
        <is>
          <t>招股书申报稿口径：2022/2023/2024/2025Q1-3分别为44.18%/44.22%/56.41%/59.45%；2025年度60.27%（申报稿），上会稿口径为60.13%，存在版本差异。</t>
        </is>
      </c>
    </row>
    <row r="8">
      <c r="A8" s="3" t="inlineStr">
        <is>
          <t>销售毛利率（整体）</t>
        </is>
      </c>
      <c r="B8" s="8" t="inlineStr">
        <is>
          <t>%</t>
        </is>
      </c>
      <c r="C8" s="8" t="n"/>
      <c r="D8" s="10" t="n">
        <v>0.4475</v>
      </c>
      <c r="E8" s="10" t="n">
        <v>0.5698</v>
      </c>
      <c r="F8" s="10" t="n">
        <v>0.6044</v>
      </c>
      <c r="G8" s="8" t="n"/>
      <c r="H8" s="8" t="n"/>
      <c r="I8" s="10" t="n">
        <v>0.5842000000000001</v>
      </c>
      <c r="J8" s="10" t="n">
        <v>0.5601</v>
      </c>
      <c r="K8" s="7" t="inlineStr">
        <is>
          <t>披露（报表口径）</t>
        </is>
      </c>
      <c r="L8" s="4" t="inlineStr">
        <is>
          <t>整体报表口径（含其他业务）：2023年44.75%、2024年56.98%、2025年60.44%、2026Q1为58.42%、2026H1为56.01%。</t>
        </is>
      </c>
    </row>
    <row r="9">
      <c r="A9" s="3" t="inlineStr">
        <is>
          <t>研发费用</t>
        </is>
      </c>
      <c r="B9" s="8" t="inlineStr">
        <is>
          <t>万元</t>
        </is>
      </c>
      <c r="C9" s="8" t="n"/>
      <c r="D9" s="9" t="n">
        <v>4995.18</v>
      </c>
      <c r="E9" s="9" t="n">
        <v>6983</v>
      </c>
      <c r="F9" s="9" t="n">
        <v>14496.56</v>
      </c>
      <c r="G9" s="9" t="n">
        <v>5387</v>
      </c>
      <c r="H9" s="9" t="n">
        <v>9021</v>
      </c>
      <c r="I9" s="9" t="n">
        <v>6319.31</v>
      </c>
      <c r="J9" s="9" t="n">
        <v>13590.65</v>
      </c>
      <c r="K9" s="7" t="inlineStr">
        <is>
          <t>披露/推算混合</t>
        </is>
      </c>
      <c r="L9" s="4" t="inlineStr">
        <is>
          <t>2023年4,995.18万元、2025年14,496.56万元、2026Q1为6,319.31万元、2026H1为13,590.65万元（披露值）；2024年约6,983万元为按研发费用率17.8%推算；2025H1为5,387万元（据2026H1同比+152%披露值）。</t>
        </is>
      </c>
    </row>
    <row r="10">
      <c r="A10" s="3" t="inlineStr">
        <is>
          <t>销售费用</t>
        </is>
      </c>
      <c r="B10" s="8" t="inlineStr">
        <is>
          <t>万元</t>
        </is>
      </c>
      <c r="C10" s="8" t="n"/>
      <c r="D10" s="8" t="n"/>
      <c r="E10" s="8" t="n"/>
      <c r="F10" s="9" t="n">
        <v>14100</v>
      </c>
      <c r="G10" s="8" t="n"/>
      <c r="H10" s="8" t="n"/>
      <c r="I10" s="8" t="n"/>
      <c r="J10" s="9" t="n">
        <v>16400</v>
      </c>
      <c r="K10" s="7" t="inlineStr">
        <is>
          <t>披露（约数）</t>
        </is>
      </c>
      <c r="L10" s="4" t="inlineStr">
        <is>
          <t>2025年约1.41亿元（费用率8.31%）；2026H1约1.64亿元，已超过2025年全年水平。</t>
        </is>
      </c>
    </row>
    <row r="11">
      <c r="A11" s="3" t="inlineStr">
        <is>
          <t>经营活动现金流净额</t>
        </is>
      </c>
      <c r="B11" s="8" t="inlineStr">
        <is>
          <t>万元</t>
        </is>
      </c>
      <c r="C11" s="8" t="n"/>
      <c r="D11" s="8" t="n"/>
      <c r="E11" s="9" t="n">
        <v>19000</v>
      </c>
      <c r="F11" s="9" t="n">
        <v>67000</v>
      </c>
      <c r="G11" s="8" t="n"/>
      <c r="H11" s="8" t="n"/>
      <c r="I11" s="8" t="n"/>
      <c r="J11" s="8" t="n"/>
      <c r="K11" s="7" t="inlineStr">
        <is>
          <t>约数/推算</t>
        </is>
      </c>
      <c r="L11" s="4" t="inlineStr">
        <is>
          <t>2025年净流入超6.7亿元（约数）；2024年约1.9亿元为按“2025年较2024年增加4.8亿元”反推，需以现金流量表为准。</t>
        </is>
      </c>
    </row>
    <row r="12">
      <c r="A12" s="3" t="inlineStr">
        <is>
          <t>资产总额</t>
        </is>
      </c>
      <c r="B12" s="8" t="inlineStr">
        <is>
          <t>万元</t>
        </is>
      </c>
      <c r="C12" s="8" t="n"/>
      <c r="D12" s="8" t="n"/>
      <c r="E12" s="8" t="n"/>
      <c r="F12" s="9" t="n">
        <v>320800</v>
      </c>
      <c r="G12" s="8" t="n"/>
      <c r="H12" s="8" t="n"/>
      <c r="I12" s="8" t="n"/>
      <c r="J12" s="9" t="n">
        <v>384500</v>
      </c>
      <c r="K12" s="7" t="inlineStr">
        <is>
          <t>披露/推算混合</t>
        </is>
      </c>
      <c r="L12" s="4" t="inlineStr">
        <is>
          <t>2026-06-30为38.45亿元（披露，较上年末+19.85%）；2025年末32.08亿元为反推值。</t>
        </is>
      </c>
    </row>
    <row r="13">
      <c r="A13" s="3" t="inlineStr">
        <is>
          <t>流动资产</t>
        </is>
      </c>
      <c r="B13" s="8" t="inlineStr">
        <is>
          <t>万元</t>
        </is>
      </c>
      <c r="C13" s="8" t="n"/>
      <c r="D13" s="8" t="n"/>
      <c r="E13" s="8" t="n"/>
      <c r="F13" s="9" t="n">
        <v>221900</v>
      </c>
      <c r="G13" s="8" t="n"/>
      <c r="H13" s="8" t="n"/>
      <c r="I13" s="8" t="n"/>
      <c r="J13" s="9" t="n">
        <v>288800</v>
      </c>
      <c r="K13" s="7" t="inlineStr">
        <is>
          <t>披露/推算混合</t>
        </is>
      </c>
      <c r="L13" s="4" t="inlineStr">
        <is>
          <t>2026-06-30为28.88亿元（披露，较上年末+30.13%）；2025年末22.19亿元为反推值。</t>
        </is>
      </c>
    </row>
    <row r="14">
      <c r="A14" s="3" t="inlineStr">
        <is>
          <t>股份支付费用（非经常性）</t>
        </is>
      </c>
      <c r="B14" s="8" t="inlineStr">
        <is>
          <t>万元</t>
        </is>
      </c>
      <c r="C14" s="8" t="n"/>
      <c r="D14" s="8" t="n"/>
      <c r="E14" s="8" t="n"/>
      <c r="F14" s="9" t="n">
        <v>34906.55</v>
      </c>
      <c r="G14" s="9" t="n">
        <v>34900</v>
      </c>
      <c r="H14" s="8" t="n"/>
      <c r="I14" s="8" t="n"/>
      <c r="J14" s="8" t="n"/>
      <c r="K14" s="7" t="inlineStr">
        <is>
          <t>披露</t>
        </is>
      </c>
      <c r="L14" s="4" t="inlineStr">
        <is>
          <t>2025年确认34,906.55万元（股权激励平台上海宇翼增资），主要在2025H1确认，导致2025H1归母净利润为负而扣非为正。</t>
        </is>
      </c>
    </row>
  </sheetData>
  <mergeCells count="1">
    <mergeCell ref="A1:L1"/>
  </mergeCells>
  <conditionalFormatting sqref="C4:J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55" customWidth="1" min="4" max="4"/>
    <col width="55" customWidth="1" min="5" max="5"/>
    <col width="10" customWidth="1" min="6" max="6"/>
  </cols>
  <sheetData>
    <row r="1">
      <c r="A1" s="1" t="inlineStr">
        <is>
          <t>业务与经营数据（单位：人民币万元；资料截止2026-08-30）</t>
        </is>
      </c>
    </row>
    <row r="3">
      <c r="A3" s="5" t="inlineStr">
        <is>
          <t>一、2025年度主营业务收入结构（按产品，年报口径）</t>
        </is>
      </c>
    </row>
    <row r="4">
      <c r="A4" s="2" t="inlineStr">
        <is>
          <t>产品</t>
        </is>
      </c>
      <c r="B4" s="2" t="inlineStr">
        <is>
          <t>收入（万元）</t>
        </is>
      </c>
      <c r="C4" s="2" t="inlineStr">
        <is>
          <t>占比</t>
        </is>
      </c>
      <c r="D4" s="2" t="inlineStr">
        <is>
          <t>备注</t>
        </is>
      </c>
    </row>
    <row r="5">
      <c r="A5" s="4" t="inlineStr">
        <is>
          <t>人形机器人</t>
        </is>
      </c>
      <c r="B5" s="9" t="n">
        <v>86783.19</v>
      </c>
      <c r="C5" s="10">
        <f>IF(OR($B$10="",$B$10=0),"",B5/$B$10)</f>
        <v>0.5107088676291627</v>
      </c>
      <c r="D5" s="4" t="inlineStr">
        <is>
          <t>2025年占比51.07%，第一大收入来源；全年出货超5,500台（纯人形，不含轮式双臂），出货量全球第一</t>
        </is>
      </c>
    </row>
    <row r="6">
      <c r="A6" s="4" t="inlineStr">
        <is>
          <t>四足机器人</t>
        </is>
      </c>
      <c r="B6" s="9" t="n">
        <v>69762.56</v>
      </c>
      <c r="C6" s="10">
        <f>IF(OR($B$10="",$B$10=0),"",B6/$B$10)</f>
        <v>0.41054446166949515</v>
      </c>
      <c r="D6" s="4" t="inlineStr">
        <is>
          <t>占比41.05%；B系列行业级+Go系列消费级，2022-2025Q3累计销量超3万台</t>
        </is>
      </c>
    </row>
    <row r="7">
      <c r="A7" s="4" t="inlineStr">
        <is>
          <t>机器人组件</t>
        </is>
      </c>
      <c r="B7" s="9" t="n">
        <v>10373.67</v>
      </c>
      <c r="C7" s="10">
        <f>IF(OR($B$10="",$B$10=0),"",B7/$B$10)</f>
        <v>0.061047828028200114</v>
      </c>
      <c r="D7" s="4" t="inlineStr">
        <is>
          <t>占比6.10%；关节模组、灵巧手、协作机械臂、感知传感器等</t>
        </is>
      </c>
    </row>
    <row r="8">
      <c r="A8" s="4" t="inlineStr">
        <is>
          <t>其他业务</t>
        </is>
      </c>
      <c r="B8" s="9" t="n">
        <v>2315.84</v>
      </c>
      <c r="C8" s="10">
        <f>IF(OR($B$10="",$B$10=0),"",B8/$B$10)</f>
        <v>0.013628446062080917</v>
      </c>
      <c r="D8" s="4" t="inlineStr">
        <is>
          <t>占比1.36%</t>
        </is>
      </c>
    </row>
    <row r="9">
      <c r="A9" s="4" t="inlineStr">
        <is>
          <t>其他</t>
        </is>
      </c>
      <c r="B9" s="9" t="n">
        <v>691.67</v>
      </c>
      <c r="C9" s="10">
        <f>IF(OR($B$10="",$B$10=0),"",B9/$B$10)</f>
        <v>0.004070396611061001</v>
      </c>
      <c r="D9" s="4" t="inlineStr">
        <is>
          <t>占比0.41%</t>
        </is>
      </c>
    </row>
    <row r="10">
      <c r="A10" s="11" t="inlineStr">
        <is>
          <t>合计</t>
        </is>
      </c>
      <c r="B10" s="12">
        <f>SUM(B5:B9)</f>
        <v>169926.93000000002</v>
      </c>
      <c r="C10" s="13">
        <f>IF(OR(B10="",B10=0),"",1)</f>
        <v>1.0</v>
      </c>
      <c r="D10" s="11" t="n"/>
    </row>
    <row r="12">
      <c r="A12" s="5" t="inlineStr">
        <is>
          <t>二、2025年度收入结构（按地域，年报口径）</t>
        </is>
      </c>
    </row>
    <row r="13">
      <c r="A13" s="2" t="inlineStr">
        <is>
          <t>地域</t>
        </is>
      </c>
      <c r="B13" s="2" t="inlineStr">
        <is>
          <t>收入（万元）</t>
        </is>
      </c>
      <c r="C13" s="2" t="inlineStr">
        <is>
          <t>占比</t>
        </is>
      </c>
      <c r="D13" s="2" t="inlineStr">
        <is>
          <t>备注</t>
        </is>
      </c>
    </row>
    <row r="14">
      <c r="A14" s="4" t="inlineStr">
        <is>
          <t>境内</t>
        </is>
      </c>
      <c r="B14" s="9" t="n">
        <v>94445.56</v>
      </c>
      <c r="C14" s="10">
        <f>IF(OR($B$17="",$B$17=0),"",B14/$B$17)</f>
        <v>0.5558010140005472</v>
      </c>
      <c r="D14" s="4" t="inlineStr">
        <is>
          <t>占比55.58%；2025年春晚演出后境内需求显著放量，为2022年以来境内占比首次过半</t>
        </is>
      </c>
    </row>
    <row r="15">
      <c r="A15" s="4" t="inlineStr">
        <is>
          <t>境外</t>
        </is>
      </c>
      <c r="B15" s="9" t="n">
        <v>73165.53</v>
      </c>
      <c r="C15" s="10">
        <f>IF(OR($B$17="",$B$17=0),"",B15/$B$17)</f>
        <v>0.43057053993737193</v>
      </c>
      <c r="D15" s="4" t="inlineStr">
        <is>
          <t>占比43.06%；2022-2024年境外收入占比均超50%，2025年结构反转</t>
        </is>
      </c>
    </row>
    <row r="16">
      <c r="A16" s="4" t="inlineStr">
        <is>
          <t>其他业务</t>
        </is>
      </c>
      <c r="B16" s="9" t="n">
        <v>2315.84</v>
      </c>
      <c r="C16" s="10">
        <f>IF(OR($B$17="",$B$17=0),"",B16/$B$17)</f>
        <v>0.013628446062080921</v>
      </c>
      <c r="D16" s="4" t="inlineStr">
        <is>
          <t>占比1.36%</t>
        </is>
      </c>
    </row>
    <row r="17">
      <c r="A17" s="11" t="inlineStr">
        <is>
          <t>合计</t>
        </is>
      </c>
      <c r="B17" s="12">
        <f>SUM(B14:B16)</f>
        <v>169926.93</v>
      </c>
      <c r="C17" s="13">
        <f>IF(OR(B17="",B17=0),"",1)</f>
        <v>1.0</v>
      </c>
      <c r="D17" s="11" t="n"/>
    </row>
    <row r="19">
      <c r="A19" s="5" t="inlineStr">
        <is>
          <t>三、收入结构历史趋势（占主营业务收入比例）</t>
        </is>
      </c>
    </row>
    <row r="20">
      <c r="A20" s="2" t="inlineStr">
        <is>
          <t>年度</t>
        </is>
      </c>
      <c r="B20" s="2" t="inlineStr">
        <is>
          <t>人形机器人占比</t>
        </is>
      </c>
      <c r="C20" s="2" t="inlineStr">
        <is>
          <t>四足机器人占比</t>
        </is>
      </c>
      <c r="D20" s="2" t="inlineStr">
        <is>
          <t>境外收入占比</t>
        </is>
      </c>
      <c r="E20" s="2" t="inlineStr">
        <is>
          <t>备注</t>
        </is>
      </c>
    </row>
    <row r="21">
      <c r="A21" s="4" t="inlineStr">
        <is>
          <t>2022年度</t>
        </is>
      </c>
      <c r="B21" s="8" t="n"/>
      <c r="C21" s="10" t="n">
        <v>0.7657</v>
      </c>
      <c r="D21" s="8" t="n"/>
      <c r="E21" s="4" t="inlineStr">
        <is>
          <t>四足机器人占总营收76.57%；境外收入占比超50%（精确值待核）</t>
        </is>
      </c>
    </row>
    <row r="22">
      <c r="A22" s="4" t="inlineStr">
        <is>
          <t>2023年度</t>
        </is>
      </c>
      <c r="B22" s="10" t="n">
        <v>0.0188</v>
      </c>
      <c r="C22" s="8" t="n"/>
      <c r="D22" s="8" t="n"/>
      <c r="E22" s="4" t="inlineStr">
        <is>
          <t>首款人形H1上市当年，人形收入占比1.88%；境外占比超50%</t>
        </is>
      </c>
    </row>
    <row r="23">
      <c r="A23" s="4" t="inlineStr">
        <is>
          <t>2024年度</t>
        </is>
      </c>
      <c r="B23" s="10" t="n">
        <v>0.276</v>
      </c>
      <c r="C23" s="8" t="n"/>
      <c r="D23" s="8" t="n"/>
      <c r="E23" s="4" t="inlineStr">
        <is>
          <t>中型人形G1放量，人形占比提升至27.6%；境外占比超50%</t>
        </is>
      </c>
    </row>
    <row r="24">
      <c r="A24" s="4" t="inlineStr">
        <is>
          <t>2025Q1-3</t>
        </is>
      </c>
      <c r="B24" s="10" t="n">
        <v>0.5153</v>
      </c>
      <c r="C24" s="8" t="n"/>
      <c r="D24" s="10" t="n">
        <v>0.392</v>
      </c>
      <c r="E24" s="4" t="inlineStr">
        <is>
          <t>人形收入5.95亿元（+642.38%）首次反超四足；境内占比60.8%</t>
        </is>
      </c>
    </row>
    <row r="25">
      <c r="A25" s="4" t="inlineStr">
        <is>
          <t>2025年度</t>
        </is>
      </c>
      <c r="B25" s="10" t="n">
        <v>0.5107</v>
      </c>
      <c r="C25" s="10" t="n">
        <v>0.4105</v>
      </c>
      <c r="D25" s="10" t="n">
        <v>0.4306</v>
      </c>
      <c r="E25" s="4" t="inlineStr">
        <is>
          <t>人形51.07%/四足41.05%/境外43.06%（年报口径）</t>
        </is>
      </c>
    </row>
    <row r="27">
      <c r="A27" s="5" t="inlineStr">
        <is>
          <t>四、销量与产品动态（招股书/官方口径）</t>
        </is>
      </c>
    </row>
    <row r="28">
      <c r="A28" s="2" t="inlineStr">
        <is>
          <t>指标</t>
        </is>
      </c>
      <c r="B28" s="2" t="inlineStr">
        <is>
          <t>数值</t>
        </is>
      </c>
      <c r="C28" s="2" t="inlineStr">
        <is>
          <t>单位</t>
        </is>
      </c>
      <c r="D28" s="2" t="inlineStr">
        <is>
          <t>备注</t>
        </is>
      </c>
    </row>
    <row r="29">
      <c r="A29" s="4" t="inlineStr">
        <is>
          <t>四足机器人累计销量（2022-2025Q3）</t>
        </is>
      </c>
      <c r="B29" s="14" t="n">
        <v>30000</v>
      </c>
      <c r="C29" s="4" t="inlineStr">
        <is>
          <t>台</t>
        </is>
      </c>
      <c r="D29" s="4" t="inlineStr">
        <is>
          <t>超3万台，全球四足机器人市场第一梯队</t>
        </is>
      </c>
    </row>
    <row r="30">
      <c r="A30" s="4" t="inlineStr">
        <is>
          <t>2025年度人形机器人出货量</t>
        </is>
      </c>
      <c r="B30" s="14" t="n">
        <v>5500</v>
      </c>
      <c r="C30" s="4" t="inlineStr">
        <is>
          <t>台</t>
        </is>
      </c>
      <c r="D30" s="4" t="inlineStr">
        <is>
          <t>超5,500台（纯人形，不含轮式双臂），出货量全球第一（约数）</t>
        </is>
      </c>
    </row>
    <row r="31">
      <c r="A31" s="4" t="inlineStr">
        <is>
          <t>2025Q1-3人形机器人销量</t>
        </is>
      </c>
      <c r="B31" s="14" t="n">
        <v>3551</v>
      </c>
      <c r="C31" s="4" t="inlineStr">
        <is>
          <t>台</t>
        </is>
      </c>
      <c r="D31" s="4" t="inlineStr">
        <is>
          <t>同比增长1054.8%</t>
        </is>
      </c>
    </row>
    <row r="32">
      <c r="A32" s="4" t="inlineStr">
        <is>
          <t>2025Q1-3人形机器人收入</t>
        </is>
      </c>
      <c r="B32" s="14" t="n">
        <v>59500</v>
      </c>
      <c r="C32" s="4" t="inlineStr">
        <is>
          <t>万元</t>
        </is>
      </c>
      <c r="D32" s="4" t="inlineStr">
        <is>
          <t>同比增长642.38%</t>
        </is>
      </c>
    </row>
    <row r="33">
      <c r="A33" s="4" t="inlineStr">
        <is>
          <t>2025Q1-3四足机器人收入</t>
        </is>
      </c>
      <c r="B33" s="14" t="n">
        <v>48800</v>
      </c>
      <c r="C33" s="4" t="inlineStr">
        <is>
          <t>万元</t>
        </is>
      </c>
      <c r="D33" s="4" t="inlineStr">
        <is>
          <t>同比增长182.22%</t>
        </is>
      </c>
    </row>
    <row r="34">
      <c r="A34" s="4" t="inlineStr">
        <is>
          <t>2025Q1-3人形收入中科研教育领域占比</t>
        </is>
      </c>
      <c r="B34" s="10" t="n">
        <v>0.736</v>
      </c>
      <c r="C34" s="4" t="inlineStr">
        <is>
          <t>%</t>
        </is>
      </c>
      <c r="D34" s="4" t="inlineStr">
        <is>
          <t>科研教育为当前最主要下游场景；海外收入占比超40%</t>
        </is>
      </c>
    </row>
    <row r="36">
      <c r="A36" s="5" t="inlineStr">
        <is>
          <t>五、分产品毛利率（招股书披露口径）</t>
        </is>
      </c>
    </row>
    <row r="37">
      <c r="A37" s="2" t="inlineStr">
        <is>
          <t>产品</t>
        </is>
      </c>
      <c r="B37" s="2" t="inlineStr">
        <is>
          <t>2023年度</t>
        </is>
      </c>
      <c r="C37" s="2" t="inlineStr">
        <is>
          <t>2024年度</t>
        </is>
      </c>
      <c r="D37" s="2" t="inlineStr">
        <is>
          <t>2025Q1-3</t>
        </is>
      </c>
      <c r="E37" s="2" t="inlineStr">
        <is>
          <t>备注</t>
        </is>
      </c>
    </row>
    <row r="38">
      <c r="A38" s="4" t="inlineStr">
        <is>
          <t>人形机器人</t>
        </is>
      </c>
      <c r="B38" s="10" t="n">
        <v>0.877</v>
      </c>
      <c r="C38" s="10" t="n">
        <v>0.6840000000000001</v>
      </c>
      <c r="D38" s="10" t="n">
        <v>0.629</v>
      </c>
      <c r="E38" s="4" t="inlineStr">
        <is>
          <t>毛利率随G1放量与主动降价而收窄，但仍显著高于整体水平</t>
        </is>
      </c>
    </row>
    <row r="39">
      <c r="A39" s="4" t="inlineStr">
        <is>
          <t>机器人组件</t>
        </is>
      </c>
      <c r="B39" s="10" t="n">
        <v>0.488</v>
      </c>
      <c r="C39" s="10" t="n">
        <v>0.569</v>
      </c>
      <c r="D39" s="10" t="n">
        <v>0.604</v>
      </c>
      <c r="E39" s="4" t="inlineStr">
        <is>
          <t>组件毛利率稳步提升</t>
        </is>
      </c>
    </row>
    <row r="41">
      <c r="A41" s="5" t="inlineStr">
        <is>
          <t>六、IPO与上市信息（截至2026-08-30）</t>
        </is>
      </c>
    </row>
    <row r="42">
      <c r="A42" s="2" t="inlineStr">
        <is>
          <t>项目</t>
        </is>
      </c>
      <c r="B42" s="2" t="inlineStr">
        <is>
          <t>内容</t>
        </is>
      </c>
      <c r="C42" s="2" t="inlineStr">
        <is>
          <t>备注</t>
        </is>
      </c>
    </row>
    <row r="43">
      <c r="A43" s="4" t="inlineStr">
        <is>
          <t>IPO受理日期</t>
        </is>
      </c>
      <c r="B43" s="4" t="inlineStr">
        <is>
          <t>2026-03-20</t>
        </is>
      </c>
      <c r="C43" s="4" t="inlineStr">
        <is>
          <t>上交所科创板受理，适用“预先审阅”机制</t>
        </is>
      </c>
    </row>
    <row r="44">
      <c r="A44" s="4" t="inlineStr">
        <is>
          <t>上市委会议通过</t>
        </is>
      </c>
      <c r="B44" s="4" t="inlineStr">
        <is>
          <t>2026-06-01</t>
        </is>
      </c>
      <c r="C44" s="4" t="inlineStr">
        <is>
          <t>受理至过会约70余天</t>
        </is>
      </c>
    </row>
    <row r="45">
      <c r="A45" s="4" t="inlineStr">
        <is>
          <t>上市日期</t>
        </is>
      </c>
      <c r="B45" s="4" t="inlineStr">
        <is>
          <t>2026-08-19</t>
        </is>
      </c>
      <c r="C45" s="4" t="inlineStr">
        <is>
          <t>科创板，A股“人形机器人整机第一股”</t>
        </is>
      </c>
    </row>
    <row r="46">
      <c r="A46" s="4" t="inlineStr">
        <is>
          <t>证券代码/简称</t>
        </is>
      </c>
      <c r="B46" s="4" t="inlineStr">
        <is>
          <t>688836.SH 宇树科技-W</t>
        </is>
      </c>
      <c r="C46" s="4" t="inlineStr">
        <is>
          <t>上市后未盈利?否——已实现盈利；-W为特殊标识（加权表决权/类似安排，以公告为准）</t>
        </is>
      </c>
    </row>
    <row r="47">
      <c r="A47" s="4" t="inlineStr">
        <is>
          <t>发行价格</t>
        </is>
      </c>
      <c r="B47" s="4" t="inlineStr">
        <is>
          <t>150.80元/股</t>
        </is>
      </c>
      <c r="C47" s="4" t="inlineStr">
        <is>
          <t>发行市盈率约219倍</t>
        </is>
      </c>
    </row>
    <row r="48">
      <c r="A48" s="4" t="inlineStr">
        <is>
          <t>拟募集资金</t>
        </is>
      </c>
      <c r="B48" s="4" t="inlineStr">
        <is>
          <t>420,200万元（42.02亿元）</t>
        </is>
      </c>
      <c r="C48" s="4" t="inlineStr">
        <is>
          <t>投向智能机器人模型研发、机器人本体研发、新型智能机器人产品开发、智能机器人制造基地建设四大项目</t>
        </is>
      </c>
    </row>
    <row r="49">
      <c r="A49" s="4" t="inlineStr">
        <is>
          <t>拟公开发行新股</t>
        </is>
      </c>
      <c r="B49" s="4" t="inlineStr">
        <is>
          <t>不低于4,044.64万股</t>
        </is>
      </c>
      <c r="C49" s="4" t="inlineStr">
        <is>
          <t>招股书披露</t>
        </is>
      </c>
    </row>
    <row r="50">
      <c r="A50" s="4" t="inlineStr">
        <is>
          <t>上市首日表现</t>
        </is>
      </c>
      <c r="B50" s="4" t="inlineStr">
        <is>
          <t>开盘1,100元/股（+629.44%），收盘845元/股，成交额231.60亿元</t>
        </is>
      </c>
      <c r="C50" s="4" t="inlineStr">
        <is>
          <t>首日换手率85.28%；上市后股价波动较大，截至8月底较首日高点明显回落</t>
        </is>
      </c>
    </row>
    <row r="51">
      <c r="A51" s="4" t="inlineStr">
        <is>
          <t>控股股东/实控人</t>
        </is>
      </c>
      <c r="B51" s="4" t="inlineStr">
        <is>
          <t>王兴兴，直接持股23.8216%</t>
        </is>
      </c>
      <c r="C51" s="4" t="inlineStr">
        <is>
          <t>控制近七成表决权（据媒体披露）</t>
        </is>
      </c>
    </row>
    <row r="52">
      <c r="A52" s="4" t="inlineStr">
        <is>
          <t>主要机构股东</t>
        </is>
      </c>
      <c r="B52" s="4" t="inlineStr">
        <is>
          <t>含美团、蚂蚁集团、红杉中国、腾讯、阿里等（媒体披露）</t>
        </is>
      </c>
      <c r="C52" s="4" t="inlineStr">
        <is>
          <t>股东阵容详见招股书</t>
        </is>
      </c>
    </row>
  </sheetData>
  <mergeCells count="7">
    <mergeCell ref="A41:F41"/>
    <mergeCell ref="A19:F19"/>
    <mergeCell ref="A36:F36"/>
    <mergeCell ref="A1:F1"/>
    <mergeCell ref="A27:F27"/>
    <mergeCell ref="A12:F12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60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核心计算（公式联动“原始数据-财务”，修改原始数据后自动更新）</t>
        </is>
      </c>
    </row>
    <row r="2">
      <c r="A2" s="2" t="inlineStr">
        <is>
          <t>指标</t>
        </is>
      </c>
      <c r="B2" s="2" t="inlineStr">
        <is>
          <t>单位</t>
        </is>
      </c>
      <c r="C2" s="2" t="inlineStr">
        <is>
          <t>2022年度</t>
        </is>
      </c>
      <c r="D2" s="2" t="inlineStr">
        <is>
          <t>2023年度</t>
        </is>
      </c>
      <c r="E2" s="2" t="inlineStr">
        <is>
          <t>2024年度</t>
        </is>
      </c>
      <c r="F2" s="2" t="inlineStr">
        <is>
          <t>2025年度</t>
        </is>
      </c>
      <c r="G2" s="2" t="inlineStr">
        <is>
          <t>2026H1</t>
        </is>
      </c>
      <c r="H2" s="2" t="inlineStr">
        <is>
          <t>计算口径说明</t>
        </is>
      </c>
    </row>
    <row r="3">
      <c r="A3" s="3" t="inlineStr">
        <is>
          <t>营业收入同比增速</t>
        </is>
      </c>
      <c r="B3" s="4" t="inlineStr">
        <is>
          <t>%</t>
        </is>
      </c>
      <c r="C3" s="8" t="n"/>
      <c r="D3" s="10">
        <f>IF(OR('原始数据-财务'!C3="",'原始数据-财务'!C3=0),"",'原始数据-财务'!D3/'原始数据-财务'!C3-1)</f>
        <v>0.29462290360764554</v>
      </c>
      <c r="E3" s="10">
        <f>IF(OR('原始数据-财务'!D3="",'原始数据-财务'!D3=0),"",'原始数据-财务'!E3/'原始数据-财务'!D3-1)</f>
        <v>1.4656554459626578</v>
      </c>
      <c r="F3" s="10">
        <f>IF(OR('原始数据-财务'!E3="",'原始数据-财务'!E3=0),"",'原始数据-财务'!F3/'原始数据-财务'!E3-1)</f>
        <v>3.3307763119866776</v>
      </c>
      <c r="G3" s="10">
        <f>IF(OR('原始数据-财务'!G3="",'原始数据-财务'!G3=0),"",'原始数据-财务'!J3/'原始数据-财务'!G3-1)</f>
        <v>0.48561835997937086</v>
      </c>
      <c r="H3" s="4" t="inlineStr">
        <is>
          <t>2026H1为对2025H1（推算值）的同比；2025年度同比对应招股书披露+332.64%~335.36%（版本差异）</t>
        </is>
      </c>
    </row>
    <row r="4">
      <c r="A4" s="3" t="inlineStr">
        <is>
          <t>归母净利率</t>
        </is>
      </c>
      <c r="B4" s="4" t="inlineStr">
        <is>
          <t>%</t>
        </is>
      </c>
      <c r="C4" s="10">
        <f>IF(OR('原始数据-财务'!C3="",'原始数据-财务'!C3=0),"",'原始数据-财务'!C4/'原始数据-财务'!C3)</f>
        <v>-0.1797965335036345</v>
      </c>
      <c r="D4" s="10">
        <f>IF(OR('原始数据-财务'!D3="",'原始数据-财务'!D3=0),"",'原始数据-财务'!D4/'原始数据-财务'!D3)</f>
        <v>-0.07003576850762626</v>
      </c>
      <c r="E4" s="10">
        <f>IF(OR('原始数据-财务'!E3="",'原始数据-财务'!E3=0),"",'原始数据-财务'!E4/'原始数据-财务'!E3)</f>
        <v>0.24084832043991067</v>
      </c>
      <c r="F4" s="10">
        <f>IF(OR('原始数据-财务'!F3="",'原始数据-财务'!F3=0),"",'原始数据-财务'!F4/'原始数据-财务'!F3)</f>
        <v>0.16359973077839987</v>
      </c>
      <c r="G4" s="10">
        <f>IF(OR('原始数据-财务'!J3="",'原始数据-财务'!J3=0),"",'原始数据-财务'!J4/'原始数据-财务'!J3)</f>
        <v>0.23779652532411494</v>
      </c>
      <c r="H4" s="4" t="inlineStr">
        <is>
          <t>归母净利润/营业收入</t>
        </is>
      </c>
    </row>
    <row r="5">
      <c r="A5" s="3" t="inlineStr">
        <is>
          <t>扣非归母净利率</t>
        </is>
      </c>
      <c r="B5" s="4" t="inlineStr">
        <is>
          <t>%</t>
        </is>
      </c>
      <c r="C5" s="10">
        <f>IF(OR('原始数据-财务'!C3="",'原始数据-财务'!C3=0),"",'原始数据-财务'!C6/'原始数据-财务'!C3)</f>
        <v>-0.06565272393721093</v>
      </c>
      <c r="D5" s="10">
        <f>IF(OR('原始数据-财务'!D3="",'原始数据-财务'!D3=0),"",'原始数据-财务'!D6/'原始数据-财务'!D3)</f>
        <v>-0.11323195990307564</v>
      </c>
      <c r="E5" s="10">
        <f>IF(OR('原始数据-财务'!E3="",'原始数据-财务'!E3=0),"",'原始数据-财务'!E6/'原始数据-财务'!E3)</f>
        <v>0.19751734712029903</v>
      </c>
      <c r="F5" s="10">
        <f>IF(OR('原始数据-财务'!F3="",'原始数据-财务'!F3=0),"",'原始数据-财务'!F6/'原始数据-财务'!F3)</f>
        <v>0.3476510756711723</v>
      </c>
      <c r="G5" s="10">
        <f>IF(OR('原始数据-财务'!J3="",'原始数据-财务'!J3=0),"",'原始数据-财务'!J6/'原始数据-财务'!J3)</f>
        <v>0.21176040941271548</v>
      </c>
      <c r="H5" s="4" t="inlineStr">
        <is>
          <t>扣非归母净利润/营业收入；2025年度约34.77%（券商口径34.8%一致）</t>
        </is>
      </c>
    </row>
    <row r="6">
      <c r="A6" s="3" t="inlineStr">
        <is>
          <t>研发费用率</t>
        </is>
      </c>
      <c r="B6" s="4" t="inlineStr">
        <is>
          <t>%</t>
        </is>
      </c>
      <c r="C6" s="8" t="n"/>
      <c r="D6" s="10">
        <f>IF(OR('原始数据-财务'!D3="",'原始数据-财务'!D3=0),"",'原始数据-财务'!D9/'原始数据-财务'!D3)</f>
        <v>0.3138969324043073</v>
      </c>
      <c r="E6" s="10">
        <f>IF(OR('原始数据-财务'!E3="",'原始数据-财务'!E3=0),"",'原始数据-财务'!E9/'原始数据-财务'!E3)</f>
        <v>0.17796950128271588</v>
      </c>
      <c r="F6" s="10">
        <f>IF(OR('原始数据-财务'!F3="",'原始数据-财务'!F3=0),"",'原始数据-财务'!F9/'原始数据-财务'!F3)</f>
        <v>0.08531055083499714</v>
      </c>
      <c r="G6" s="10">
        <f>IF(OR('原始数据-财务'!J3="",'原始数据-财务'!J3=0),"",'原始数据-财务'!J9/'原始数据-财务'!J3)</f>
        <v>0.11794924623708695</v>
      </c>
      <c r="H6" s="4" t="inlineStr">
        <is>
          <t>研发费用/营业收入；2024年研发费用为推算值，结果仅供参考</t>
        </is>
      </c>
    </row>
    <row r="7">
      <c r="A7" s="3" t="inlineStr">
        <is>
          <t>扣非归母净利润同比增速</t>
        </is>
      </c>
      <c r="B7" s="4" t="inlineStr">
        <is>
          <t>%</t>
        </is>
      </c>
      <c r="C7" s="8" t="n"/>
      <c r="D7" s="8" t="n"/>
      <c r="E7" s="10">
        <f>IF(OR('原始数据-财务'!D6="",'原始数据-财务'!D6=0),"",'原始数据-财务'!E6/'原始数据-财务'!D6-1)</f>
        <v>-5.300991725446886</v>
      </c>
      <c r="F7" s="10">
        <f>IF(OR('原始数据-财务'!E6="",'原始数据-财务'!E6=0),"",'原始数据-财务'!F6/'原始数据-财务'!E6-1)</f>
        <v>6.622616774193548</v>
      </c>
      <c r="G7" s="10">
        <f>IF(OR('原始数据-财务'!G6="",'原始数据-财务'!G6=0),"",'原始数据-财务'!J6/'原始数据-财务'!G6-1)</f>
        <v>-0.19338842975206616</v>
      </c>
      <c r="H7" s="4" t="inlineStr">
        <is>
          <t>2026H1为对2025H1（推算值）的同比，与披露值-19.34%一致；2025年度同比披露口径为+652.78%~674.29%</t>
        </is>
      </c>
    </row>
    <row r="9">
      <c r="A9" s="5" t="inlineStr">
        <is>
          <t>关键综合指标</t>
        </is>
      </c>
    </row>
    <row r="10">
      <c r="A10" s="2" t="inlineStr">
        <is>
          <t>指标</t>
        </is>
      </c>
      <c r="B10" s="2" t="inlineStr">
        <is>
          <t>数值</t>
        </is>
      </c>
      <c r="C10" s="2" t="inlineStr">
        <is>
          <t>单位</t>
        </is>
      </c>
      <c r="D10" s="2" t="inlineStr">
        <is>
          <t>计算说明</t>
        </is>
      </c>
    </row>
    <row r="11">
      <c r="A11" s="4" t="inlineStr">
        <is>
          <t>2022-2025营业收入CAGR</t>
        </is>
      </c>
      <c r="B11" s="10">
        <f>IF(OR('原始数据-财务'!C3="",'原始数据-财务'!C3=0,'原始数据-财务'!F3="",'原始数据-财务'!F3=0),"",('原始数据-财务'!F3/'原始数据-财务'!C3)^(1/3)-1)</f>
        <v>1.400014186029824</v>
      </c>
      <c r="C11" s="4" t="inlineStr">
        <is>
          <t>%</t>
        </is>
      </c>
      <c r="D11" s="4" t="inlineStr">
        <is>
          <t>2022→2025三年复合增速；招股书按2025Q1-3年化口径披露为133.09%（口径不同）</t>
        </is>
      </c>
    </row>
    <row r="12">
      <c r="A12" s="4" t="inlineStr">
        <is>
          <t>2023-2025营业收入CAGR</t>
        </is>
      </c>
      <c r="B12" s="10">
        <f>IF(OR('原始数据-财务'!D3="",'原始数据-财务'!D3=0,'原始数据-财务'!F3="",'原始数据-财务'!F3=0),"",('原始数据-财务'!F3/'原始数据-财务'!D3)^(1/2)-1)</f>
        <v>2.2677518569952686</v>
      </c>
      <c r="C12" s="4" t="inlineStr">
        <is>
          <t>%</t>
        </is>
      </c>
      <c r="D12" s="4" t="inlineStr">
        <is>
          <t>2023→2025两年复合增速</t>
        </is>
      </c>
    </row>
    <row r="13">
      <c r="A13" s="4" t="inlineStr">
        <is>
          <t>2025年营收相对2022年倍数</t>
        </is>
      </c>
      <c r="B13" s="15">
        <f>IF(OR('原始数据-财务'!C3="",'原始数据-财务'!C3=0),"",'原始数据-财务'!F3/'原始数据-财务'!C3)</f>
        <v>13.82424513604432</v>
      </c>
      <c r="C13" s="4" t="inlineStr">
        <is>
          <t>倍</t>
        </is>
      </c>
      <c r="D13" s="4" t="inlineStr">
        <is>
          <t>三年约13.8倍</t>
        </is>
      </c>
    </row>
    <row r="14">
      <c r="A14" s="4" t="inlineStr">
        <is>
          <t>2025年度扣非归母净利率</t>
        </is>
      </c>
      <c r="B14" s="10">
        <f>IF(OR(F5="",F5=0),"",F5)</f>
        <v>0.3476510756711723</v>
      </c>
      <c r="C14" s="4" t="inlineStr">
        <is>
          <t>%</t>
        </is>
      </c>
      <c r="D14" s="4" t="inlineStr">
        <is>
          <t>引用上行计算结果</t>
        </is>
      </c>
    </row>
    <row r="15">
      <c r="A15" s="4" t="inlineStr">
        <is>
          <t>2026H1扣非归母净利率</t>
        </is>
      </c>
      <c r="B15" s="10">
        <f>IF(OR(G5="",G5=0),"",G5)</f>
        <v>0.21176040941271548</v>
      </c>
      <c r="C15" s="4" t="inlineStr">
        <is>
          <t>%</t>
        </is>
      </c>
      <c r="D15" s="4" t="inlineStr">
        <is>
          <t>2026H1扣非2.44亿元/营收11.52亿元</t>
        </is>
      </c>
    </row>
    <row r="16">
      <c r="A16" s="4" t="inlineStr">
        <is>
          <t>2026Q1扣非归母净利率</t>
        </is>
      </c>
      <c r="B16" s="10">
        <f>IF(OR('原始数据-财务'!I3="",'原始数据-财务'!I3=0),"",'原始数据-财务'!I6/'原始数据-财务'!I3)</f>
        <v>0.09519807114029995</v>
      </c>
      <c r="C16" s="4" t="inlineStr">
        <is>
          <t>%</t>
        </is>
      </c>
      <c r="D16" s="4" t="inlineStr">
        <is>
          <t>2026Q1扣非净利率约9.52%，受研发与销售费用前置影响偏低</t>
        </is>
      </c>
    </row>
    <row r="17">
      <c r="A17" s="4" t="inlineStr">
        <is>
          <t>2026Q1营业收入同比增速</t>
        </is>
      </c>
      <c r="B17" s="10" t="n">
        <v>0.6849</v>
      </c>
      <c r="C17" s="4" t="inlineStr">
        <is>
          <t>%</t>
        </is>
      </c>
      <c r="D17" s="4" t="inlineStr">
        <is>
          <t>公司一季报披露值（+68.49%），非本表推算</t>
        </is>
      </c>
    </row>
    <row r="18">
      <c r="A18" s="4" t="inlineStr">
        <is>
          <t>2026H1研发费用同比增速</t>
        </is>
      </c>
      <c r="B18" s="10">
        <f>IF(OR('原始数据-财务'!G9="",'原始数据-财务'!G9=0),"",'原始数据-财务'!J9/'原始数据-财务'!G9-1)</f>
        <v>1.5228605903100054</v>
      </c>
      <c r="C18" s="4" t="inlineStr">
        <is>
          <t>%</t>
        </is>
      </c>
      <c r="D18" s="4" t="inlineStr">
        <is>
          <t>与披露口径+152%（约1.52倍）一致</t>
        </is>
      </c>
    </row>
    <row r="19">
      <c r="A19" s="4" t="inlineStr">
        <is>
          <t>2026H1销售费用相对2025全年</t>
        </is>
      </c>
      <c r="B19" s="15">
        <f>IF(OR('原始数据-财务'!F10="",'原始数据-财务'!F10=0),"",'原始数据-财务'!J10/'原始数据-财务'!F10)</f>
        <v>1.1631205673758864</v>
      </c>
      <c r="C19" s="4" t="inlineStr">
        <is>
          <t>倍</t>
        </is>
      </c>
      <c r="D19" s="4" t="inlineStr">
        <is>
          <t>2026H1销售费用已超2025年全年</t>
        </is>
      </c>
    </row>
    <row r="20">
      <c r="A20" s="4" t="inlineStr">
        <is>
          <t>2025年度销售费用率</t>
        </is>
      </c>
      <c r="B20" s="10">
        <f>IF(OR('原始数据-财务'!F3="",'原始数据-财务'!F3=0),"",'原始数据-财务'!F10/'原始数据-财务'!F3)</f>
        <v>0.08297684186962008</v>
      </c>
      <c r="C20" s="4" t="inlineStr">
        <is>
          <t>%</t>
        </is>
      </c>
      <c r="D20" s="4" t="inlineStr">
        <is>
          <t>约8.31%（券商口径一致）</t>
        </is>
      </c>
    </row>
    <row r="21">
      <c r="A21" s="4" t="inlineStr">
        <is>
          <t>2025年人形机器人收入占比</t>
        </is>
      </c>
      <c r="B21" s="10">
        <f>IF(OR('原始数据-业务'!B10="",'原始数据-业务'!B10=0),"",'原始数据-业务'!B5/'原始数据-业务'!B10)</f>
        <v>0.5107088676291627</v>
      </c>
      <c r="C21" s="4" t="inlineStr">
        <is>
          <t>%</t>
        </is>
      </c>
      <c r="D21" s="4" t="inlineStr">
        <is>
          <t>引用业务表计算结果</t>
        </is>
      </c>
    </row>
    <row r="22">
      <c r="A22" s="4" t="inlineStr">
        <is>
          <t>2026H1资产总额较2025年末增幅</t>
        </is>
      </c>
      <c r="B22" s="10">
        <f>IF(OR('原始数据-财务'!F12="",'原始数据-财务'!F12=0),"",'原始数据-财务'!J12/'原始数据-财务'!F12-1)</f>
        <v>0.19856608478802995</v>
      </c>
      <c r="C22" s="4" t="inlineStr">
        <is>
          <t>%</t>
        </is>
      </c>
      <c r="D22" s="4" t="inlineStr">
        <is>
          <t>与披露值+19.85%一致（2025年末数为反推值）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趋势图表（数据块引用原始数据与核心计算，图表随数据联动）</t>
        </is>
      </c>
    </row>
    <row r="3">
      <c r="A3" s="5" t="inlineStr">
        <is>
          <t>图1数据：营业收入与增速（年度）</t>
        </is>
      </c>
    </row>
    <row r="4">
      <c r="A4" s="2" t="inlineStr">
        <is>
          <t>年度</t>
        </is>
      </c>
      <c r="B4" s="2" t="inlineStr">
        <is>
          <t>营业收入（亿元）</t>
        </is>
      </c>
      <c r="C4" s="2" t="inlineStr">
        <is>
          <t>同比增速（%）</t>
        </is>
      </c>
    </row>
    <row r="5">
      <c r="A5" s="7" t="inlineStr">
        <is>
          <t>2022</t>
        </is>
      </c>
      <c r="B5" s="15">
        <f>'原始数据-财务'!C3/10000</f>
        <v>1.229195</v>
      </c>
      <c r="C5" s="8" t="n"/>
    </row>
    <row r="6">
      <c r="A6" s="7" t="inlineStr">
        <is>
          <t>2023</t>
        </is>
      </c>
      <c r="B6" s="15">
        <f>'原始数据-财务'!D3/10000</f>
        <v>1.591344</v>
      </c>
      <c r="C6" s="16">
        <f>'核心计算'!D3*100</f>
        <v>29.462290360764555</v>
      </c>
    </row>
    <row r="7">
      <c r="A7" s="7" t="inlineStr">
        <is>
          <t>2024</t>
        </is>
      </c>
      <c r="B7" s="15">
        <f>'原始数据-财务'!E3/10000</f>
        <v>3.9237059999999997</v>
      </c>
      <c r="C7" s="16">
        <f>'核心计算'!E3*100</f>
        <v>146.5655445962658</v>
      </c>
    </row>
    <row r="8">
      <c r="A8" s="7" t="inlineStr">
        <is>
          <t>2025</t>
        </is>
      </c>
      <c r="B8" s="15">
        <f>'原始数据-财务'!F3/10000</f>
        <v>16.992693</v>
      </c>
      <c r="C8" s="16">
        <f>'核心计算'!F3*100</f>
        <v>333.07763119866775</v>
      </c>
    </row>
    <row r="11">
      <c r="A11" s="5" t="inlineStr">
        <is>
          <t>图2数据：归母净利润与扣非归母净利润（年度）</t>
        </is>
      </c>
    </row>
    <row r="12">
      <c r="A12" s="2" t="inlineStr">
        <is>
          <t>年度</t>
        </is>
      </c>
      <c r="B12" s="2" t="inlineStr">
        <is>
          <t>归母净利润（亿元）</t>
        </is>
      </c>
      <c r="C12" s="2" t="inlineStr">
        <is>
          <t>扣非归母净利润（亿元）</t>
        </is>
      </c>
    </row>
    <row r="13">
      <c r="A13" s="7" t="inlineStr">
        <is>
          <t>2022</t>
        </is>
      </c>
      <c r="B13" s="15">
        <f>'原始数据-财务'!C4/10000</f>
        <v>-0.221005</v>
      </c>
      <c r="C13" s="15">
        <f>'原始数据-财务'!C6/10000</f>
        <v>-0.0807</v>
      </c>
    </row>
    <row r="14">
      <c r="A14" s="7" t="inlineStr">
        <is>
          <t>2023</t>
        </is>
      </c>
      <c r="B14" s="15">
        <f>'原始数据-财务'!D4/10000</f>
        <v>-0.111451</v>
      </c>
      <c r="C14" s="15">
        <f>'原始数据-财务'!D6/10000</f>
        <v>-0.18019100000000002</v>
      </c>
    </row>
    <row r="15">
      <c r="A15" s="7" t="inlineStr">
        <is>
          <t>2024</t>
        </is>
      </c>
      <c r="B15" s="15">
        <f>'原始数据-财务'!E4/10000</f>
        <v>0.945018</v>
      </c>
      <c r="C15" s="15">
        <f>'原始数据-财务'!E6/10000</f>
        <v>0.775</v>
      </c>
    </row>
    <row r="16">
      <c r="A16" s="7" t="inlineStr">
        <is>
          <t>2025</t>
        </is>
      </c>
      <c r="B16" s="15">
        <f>'原始数据-财务'!F4/10000</f>
        <v>2.78</v>
      </c>
      <c r="C16" s="15">
        <f>'原始数据-财务'!F6/10000</f>
        <v>5.907528</v>
      </c>
    </row>
    <row r="19">
      <c r="A19" s="5" t="inlineStr">
        <is>
          <t>图3数据：利润率趋势（年度）</t>
        </is>
      </c>
    </row>
    <row r="20">
      <c r="A20" s="2" t="inlineStr">
        <is>
          <t>年度</t>
        </is>
      </c>
      <c r="B20" s="2" t="inlineStr">
        <is>
          <t>主营业务毛利率（%）</t>
        </is>
      </c>
      <c r="C20" s="2" t="inlineStr">
        <is>
          <t>扣非归母净利率（%）</t>
        </is>
      </c>
    </row>
    <row r="21">
      <c r="A21" s="7" t="inlineStr">
        <is>
          <t>2022</t>
        </is>
      </c>
      <c r="B21" s="16">
        <f>IF('原始数据-财务'!C7="","",'原始数据-财务'!C7*100)</f>
        <v>44.18</v>
      </c>
      <c r="C21" s="16">
        <f>IF('核心计算'!C5="","",'核心计算'!C5*100)</f>
        <v>-6.565272393721093</v>
      </c>
    </row>
    <row r="22">
      <c r="A22" s="7" t="inlineStr">
        <is>
          <t>2023</t>
        </is>
      </c>
      <c r="B22" s="16">
        <f>IF('原始数据-财务'!D7="","",'原始数据-财务'!D7*100)</f>
        <v>44.22</v>
      </c>
      <c r="C22" s="16">
        <f>IF('核心计算'!D5="","",'核心计算'!D5*100)</f>
        <v>-11.323195990307564</v>
      </c>
    </row>
    <row r="23">
      <c r="A23" s="7" t="inlineStr">
        <is>
          <t>2024</t>
        </is>
      </c>
      <c r="B23" s="16">
        <f>IF('原始数据-财务'!E7="","",'原始数据-财务'!E7*100)</f>
        <v>56.410000000000004</v>
      </c>
      <c r="C23" s="16">
        <f>IF('核心计算'!E5="","",'核心计算'!E5*100)</f>
        <v>19.751734712029904</v>
      </c>
    </row>
    <row r="24">
      <c r="A24" s="7" t="inlineStr">
        <is>
          <t>2025</t>
        </is>
      </c>
      <c r="B24" s="16">
        <f>IF('原始数据-财务'!F7="","",'原始数据-财务'!F7*100)</f>
        <v>60.27</v>
      </c>
      <c r="C24" s="16">
        <f>IF('核心计算'!F5="","",'核心计算'!F5*100)</f>
        <v>34.765107567117234</v>
      </c>
    </row>
    <row r="27">
      <c r="A27" s="5" t="inlineStr">
        <is>
          <t>图4数据：2025年度收入结构（产品）</t>
        </is>
      </c>
    </row>
    <row r="28">
      <c r="A28" s="2" t="inlineStr">
        <is>
          <t>产品</t>
        </is>
      </c>
      <c r="B28" s="2" t="inlineStr">
        <is>
          <t>收入（万元）</t>
        </is>
      </c>
    </row>
    <row r="29">
      <c r="A29" s="7" t="inlineStr">
        <is>
          <t>人形机器人</t>
        </is>
      </c>
      <c r="B29" s="9">
        <f>'原始数据-业务'!B5</f>
        <v>86783.19</v>
      </c>
    </row>
    <row r="30">
      <c r="A30" s="7" t="inlineStr">
        <is>
          <t>四足机器人</t>
        </is>
      </c>
      <c r="B30" s="9">
        <f>'原始数据-业务'!B6</f>
        <v>69762.56</v>
      </c>
    </row>
    <row r="31">
      <c r="A31" s="7" t="inlineStr">
        <is>
          <t>机器人组件</t>
        </is>
      </c>
      <c r="B31" s="9">
        <f>'原始数据-业务'!B7</f>
        <v>10373.67</v>
      </c>
    </row>
    <row r="32">
      <c r="A32" s="7" t="inlineStr">
        <is>
          <t>其他</t>
        </is>
      </c>
      <c r="B32" s="9">
        <f>SUM('原始数据-业务'!B8:B9)</f>
        <v>3007.51</v>
      </c>
    </row>
    <row r="35">
      <c r="A35" s="5" t="inlineStr">
        <is>
          <t>图5数据：人形机器人收入占比（年度）</t>
        </is>
      </c>
    </row>
    <row r="36">
      <c r="A36" s="2" t="inlineStr">
        <is>
          <t>年度</t>
        </is>
      </c>
      <c r="B36" s="2" t="inlineStr">
        <is>
          <t>人形机器人收入占比（%）</t>
        </is>
      </c>
    </row>
    <row r="37">
      <c r="A37" s="7" t="inlineStr">
        <is>
          <t>2023</t>
        </is>
      </c>
      <c r="B37" s="16">
        <f>IF('原始数据-业务'!B22="","",'原始数据-业务'!B22*100)</f>
        <v>1.8800000000000001</v>
      </c>
    </row>
    <row r="38">
      <c r="A38" s="7" t="inlineStr">
        <is>
          <t>2024</t>
        </is>
      </c>
      <c r="B38" s="16">
        <f>IF('原始数据-业务'!B23="","",'原始数据-业务'!B23*100)</f>
        <v>27.6</v>
      </c>
    </row>
    <row r="39">
      <c r="A39" s="7" t="inlineStr">
        <is>
          <t>2025</t>
        </is>
      </c>
      <c r="B39" s="16">
        <f>IF('原始数据-业务'!B25="","",'原始数据-业务'!B25*100)</f>
        <v>51.07000000000001</v>
      </c>
    </row>
  </sheetData>
  <mergeCells count="6">
    <mergeCell ref="A19:C19"/>
    <mergeCell ref="A11:C11"/>
    <mergeCell ref="A27:C27"/>
    <mergeCell ref="A1:E1"/>
    <mergeCell ref="A3:C3"/>
    <mergeCell ref="A35:C3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4" customWidth="1" min="3" max="3"/>
    <col width="30" customWidth="1" min="4" max="4"/>
  </cols>
  <sheetData>
    <row r="1">
      <c r="A1" s="1" t="inlineStr">
        <is>
          <t>分析结论（区分事实、计算结果与分析判断）</t>
        </is>
      </c>
    </row>
    <row r="2">
      <c r="A2" s="2" t="inlineStr">
        <is>
          <t>序号</t>
        </is>
      </c>
      <c r="B2" s="2" t="inlineStr">
        <is>
          <t>结论要点</t>
        </is>
      </c>
      <c r="C2" s="2" t="inlineStr">
        <is>
          <t>类型</t>
        </is>
      </c>
      <c r="D2" s="2" t="inlineStr">
        <is>
          <t>依据（数据/来源）</t>
        </is>
      </c>
    </row>
    <row r="3">
      <c r="A3" s="7" t="n">
        <v>1</v>
      </c>
      <c r="B3" s="4" t="inlineStr">
        <is>
          <t>营收三年约13.8倍高速扩张：营业收入由2022年1.23亿元增至2025年16.99亿元，2022-2025年CAGR约140%，2025年同比+333%（招股书披露区间+332.64%~335.36%）。</t>
        </is>
      </c>
      <c r="C3" s="7" t="inlineStr">
        <is>
          <t>计算结果</t>
        </is>
      </c>
      <c r="D3" s="4" t="inlineStr">
        <is>
          <t>原始数据-财务、核心计算；招股书/年报</t>
        </is>
      </c>
    </row>
    <row r="4">
      <c r="A4" s="7" t="n">
        <v>2</v>
      </c>
      <c r="B4" s="4" t="inlineStr">
        <is>
          <t>2024年起扭亏为盈并快速放大：归母净利润由2023年-1,114.51万元升至2024年9,450.18万元、2025年约2.78亿元；扣非归母净利润由-1,801.91万元升至2025年59,075.28万元。</t>
        </is>
      </c>
      <c r="C4" s="7" t="inlineStr">
        <is>
          <t>事实（含约数）</t>
        </is>
      </c>
      <c r="D4" s="4" t="inlineStr">
        <is>
          <t>招股书、上市公告书</t>
        </is>
      </c>
    </row>
    <row r="5">
      <c r="A5" s="7" t="n">
        <v>3</v>
      </c>
      <c r="B5" s="4" t="inlineStr">
        <is>
          <t>盈利质量持续改善：主营业务毛利率由2022年44.18%升至2025年约60.27%（整体口径60.44%），扣非净利率2025年达约34.8%，在全球人形机器人公司中属少数实现规模化盈利的样本。</t>
        </is>
      </c>
      <c r="C5" s="7" t="inlineStr">
        <is>
          <t>计算结果+判断</t>
        </is>
      </c>
      <c r="D5" s="4" t="inlineStr">
        <is>
          <t>招股书、年报、核心计算</t>
        </is>
      </c>
    </row>
    <row r="6">
      <c r="A6" s="7" t="n">
        <v>4</v>
      </c>
      <c r="B6" s="4" t="inlineStr">
        <is>
          <t>收入结构完成切换：人形机器人收入占比由2023年1.88%→2024年27.6%→2025年51.07%，2025年首次超过四足机器人成为第一大收入来源；2025年人形出货超5,500台，居全球第一。</t>
        </is>
      </c>
      <c r="C6" s="7" t="inlineStr">
        <is>
          <t>事实</t>
        </is>
      </c>
      <c r="D6" s="4" t="inlineStr">
        <is>
          <t>招股书、年报</t>
        </is>
      </c>
    </row>
    <row r="7">
      <c r="A7" s="7" t="n">
        <v>5</v>
      </c>
      <c r="B7" s="4" t="inlineStr">
        <is>
          <t>市场结构反转：2022-2024年境外收入占比均超50%，2025年境内占比升至55.58%（春晚等品牌事件带动），境外降至43.06%，内需成为主要增量。</t>
        </is>
      </c>
      <c r="C7" s="7" t="inlineStr">
        <is>
          <t>事实+判断</t>
        </is>
      </c>
      <c r="D7" s="4" t="inlineStr">
        <is>
          <t>招股书、年报</t>
        </is>
      </c>
    </row>
    <row r="8">
      <c r="A8" s="7" t="n">
        <v>6</v>
      </c>
      <c r="B8" s="4" t="inlineStr">
        <is>
          <t>2026年增速换挡：2026Q1营收同比+68.49%、2026H1同比+48.54%，较2025年+333%明显回落；公司归因于营收基数大幅提升、行业热度缓和及竞争加剧。</t>
        </is>
      </c>
      <c r="C8" s="7" t="inlineStr">
        <is>
          <t>事实</t>
        </is>
      </c>
      <c r="D8" s="4" t="inlineStr">
        <is>
          <t>一季报、上市公告书</t>
        </is>
      </c>
    </row>
    <row r="9">
      <c r="A9" s="7" t="n">
        <v>7</v>
      </c>
      <c r="B9" s="4" t="inlineStr">
        <is>
          <t>阶段性的“增收不增利”信号：2026Q1扣非同比-52.55%、2026H1扣非同比-19.34%；2026H1研发费用1.36亿元（+152%）、销售费用1.64亿元（已超2025年全年），费用前置是主因，2026Q2扣非净利率已回升（招股书预告区间31.11%-34.42%）。</t>
        </is>
      </c>
      <c r="C9" s="7" t="inlineStr">
        <is>
          <t>事实+判断</t>
        </is>
      </c>
      <c r="D9" s="4" t="inlineStr">
        <is>
          <t>一季报、上市公告书、券商拆分</t>
        </is>
      </c>
    </row>
    <row r="10">
      <c r="A10" s="7" t="n">
        <v>8</v>
      </c>
      <c r="B10" s="4" t="inlineStr">
        <is>
          <t>归母与扣非差异主要来自股份支付：2025年确认非经常性股份支付34,906.55万元（主要在2025H1），导致2025H1归母-3,202.45万元而扣非为正，阅读利润数据时须区分口径。</t>
        </is>
      </c>
      <c r="C10" s="7" t="inlineStr">
        <is>
          <t>事实</t>
        </is>
      </c>
      <c r="D10" s="4" t="inlineStr">
        <is>
          <t>上市公告书、招股书</t>
        </is>
      </c>
    </row>
    <row r="11">
      <c r="A11" s="7" t="n">
        <v>9</v>
      </c>
      <c r="B11" s="4" t="inlineStr">
        <is>
          <t>盈利有现金流支撑：2025年经营活动现金净流入超6.7亿元，较2024年增加约4.8亿元；2026-06-30总资产38.45亿元（较上年末+19.85%）、流动资产28.88亿元，资金面稳健。</t>
        </is>
      </c>
      <c r="C11" s="7" t="inlineStr">
        <is>
          <t>事实（含约数）</t>
        </is>
      </c>
      <c r="D11" s="4" t="inlineStr">
        <is>
          <t>招股书、上市公告书</t>
        </is>
      </c>
    </row>
    <row r="12">
      <c r="A12" s="7" t="n">
        <v>10</v>
      </c>
      <c r="B12" s="4" t="inlineStr">
        <is>
          <t>下游场景仍以科研教育为主：2025Q1-3人形收入中科研教育领域占比73.6%，工业与商业场景的规模化落地仍是未来增长的关键变量。</t>
        </is>
      </c>
      <c r="C12" s="7" t="inlineStr">
        <is>
          <t>事实+判断</t>
        </is>
      </c>
      <c r="D12" s="4" t="inlineStr">
        <is>
          <t>招股书（媒体转引）</t>
        </is>
      </c>
    </row>
    <row r="13">
      <c r="A13" s="7" t="n">
        <v>11</v>
      </c>
      <c r="B13" s="4" t="inlineStr">
        <is>
          <t>竞争与估值风险：国内整车/消费电子企业入局人形机器人，产品定价、份额与利润率面临潜在压力；发行市盈率约219倍，上市首日开盘1,100元/股后股价大幅回落，估值消化依赖业绩持续兑现。</t>
        </is>
      </c>
      <c r="C13" s="7" t="inlineStr">
        <is>
          <t>事实+判断</t>
        </is>
      </c>
      <c r="D13" s="4" t="inlineStr">
        <is>
          <t>招股书风险提示、上市公告书、公开行情</t>
        </is>
      </c>
    </row>
    <row r="14">
      <c r="A14" s="7" t="n">
        <v>12</v>
      </c>
      <c r="B14" s="4" t="inlineStr">
        <is>
          <t>总体判断：公司处于“高速成长+盈利兑现+结构切换”阶段，2026年上半年呈现增速换挡与费用前置的组合特征；后续重点跟踪人形机器人工业场景订单、毛利率走势及费用率回归水平。</t>
        </is>
      </c>
      <c r="C14" s="7" t="inlineStr">
        <is>
          <t>分析判断</t>
        </is>
      </c>
      <c r="D14" s="4" t="inlineStr">
        <is>
          <t>本底稿综合</t>
        </is>
      </c>
    </row>
    <row r="16">
      <c r="A16" s="5" t="inlineStr">
        <is>
          <t>声明</t>
        </is>
      </c>
    </row>
    <row r="17">
      <c r="A17" s="17" t="inlineStr">
        <is>
          <t>以上结论基于截至2026-08-30的公开资料；标注“约数/推算”的数据请先按“说明与口径”表中的待核验清单核对披露原文后再对外使用；券商预测数据见“预测参考(非事实)”表，均非已发生事实。</t>
        </is>
      </c>
    </row>
  </sheetData>
  <mergeCells count="3">
    <mergeCell ref="A1:D1"/>
    <mergeCell ref="A17:D17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16" customWidth="1" min="5" max="5"/>
    <col width="16" customWidth="1" min="6" max="6"/>
  </cols>
  <sheetData>
    <row r="1">
      <c r="A1" s="1" t="inlineStr">
        <is>
          <t>机构预测参考——以下均为预测/前瞻陈述，不是已发生的事实</t>
        </is>
      </c>
    </row>
    <row r="2">
      <c r="A2" s="18" t="inlineStr">
        <is>
          <t>⚠ 特别提示：本表全部数据为机构预测或公司业绩预告，截至2026-08-30均未经审计、未实际发生，仅作方向性参考，不得作为历史事实引用。</t>
        </is>
      </c>
    </row>
    <row r="4">
      <c r="A4" s="2" t="inlineStr">
        <is>
          <t>机构</t>
        </is>
      </c>
      <c r="B4" s="2" t="inlineStr">
        <is>
          <t>指标</t>
        </is>
      </c>
      <c r="C4" s="2" t="inlineStr">
        <is>
          <t>2026E</t>
        </is>
      </c>
      <c r="D4" s="2" t="inlineStr">
        <is>
          <t>2027E</t>
        </is>
      </c>
      <c r="E4" s="2" t="inlineStr">
        <is>
          <t>2028E</t>
        </is>
      </c>
      <c r="F4" s="2" t="inlineStr">
        <is>
          <t>数据性质</t>
        </is>
      </c>
    </row>
    <row r="5">
      <c r="A5" s="4" t="inlineStr">
        <is>
          <t>野村证券（媒体报道转引）</t>
        </is>
      </c>
      <c r="B5" s="4" t="inlineStr">
        <is>
          <t>营业收入（亿元）</t>
        </is>
      </c>
      <c r="C5" s="15" t="n">
        <v>26.87</v>
      </c>
      <c r="D5" s="15" t="n">
        <v>53.96</v>
      </c>
      <c r="E5" s="15" t="n">
        <v>131.84</v>
      </c>
      <c r="F5" s="4" t="inlineStr">
        <is>
          <t>机构预测，非事实</t>
        </is>
      </c>
    </row>
    <row r="6">
      <c r="A6" s="4" t="inlineStr">
        <is>
          <t>招商证券（媒体报道转引）</t>
        </is>
      </c>
      <c r="B6" s="4" t="inlineStr">
        <is>
          <t>营业收入（亿元）</t>
        </is>
      </c>
      <c r="C6" s="15" t="n">
        <v>30.97</v>
      </c>
      <c r="D6" s="15" t="n">
        <v>49.6</v>
      </c>
      <c r="E6" s="15" t="n">
        <v>76.83</v>
      </c>
      <c r="F6" s="4" t="inlineStr">
        <is>
          <t>机构预测，非事实</t>
        </is>
      </c>
    </row>
    <row r="8">
      <c r="A8" s="5" t="inlineStr">
        <is>
          <t>业绩预告与实际披露对照（招股书预告 vs 上市公告书实际）</t>
        </is>
      </c>
    </row>
    <row r="9">
      <c r="A9" s="2" t="inlineStr">
        <is>
          <t>项目</t>
        </is>
      </c>
      <c r="B9" s="2" t="inlineStr">
        <is>
          <t>招股书预告区间（未经审计）</t>
        </is>
      </c>
      <c r="C9" s="2" t="inlineStr">
        <is>
          <t>实际披露（上市公告书）</t>
        </is>
      </c>
      <c r="D9" s="2" t="inlineStr">
        <is>
          <t>差异说明</t>
        </is>
      </c>
    </row>
    <row r="10">
      <c r="A10" s="4" t="inlineStr">
        <is>
          <t>2026H1营业收入（亿元）</t>
        </is>
      </c>
      <c r="B10" s="4" t="inlineStr">
        <is>
          <t>10.52 - 11.28</t>
        </is>
      </c>
      <c r="C10" s="4" t="inlineStr">
        <is>
          <t>11.52</t>
        </is>
      </c>
      <c r="D10" s="4" t="inlineStr">
        <is>
          <t>实际超出预告区间上限，收入端强于预告</t>
        </is>
      </c>
    </row>
    <row r="11">
      <c r="A11" s="4" t="inlineStr">
        <is>
          <t>2026H1扣非归母净利润（亿元）</t>
        </is>
      </c>
      <c r="B11" s="4" t="inlineStr">
        <is>
          <t>2.36 - 2.83</t>
        </is>
      </c>
      <c r="C11" s="4" t="inlineStr">
        <is>
          <t>2.44</t>
        </is>
      </c>
      <c r="D11" s="4" t="inlineStr">
        <is>
          <t>实际落于预告区间内</t>
        </is>
      </c>
    </row>
    <row r="12">
      <c r="A12" s="4" t="inlineStr">
        <is>
          <t>2026Q2扣非净利率（推算）</t>
        </is>
      </c>
      <c r="B12" s="4" t="inlineStr">
        <is>
          <t>31.11% - 34.42%（预告推算）</t>
        </is>
      </c>
      <c r="C12" s="4" t="inlineStr">
        <is>
          <t>2026H1整体扣非净利率约21.2%</t>
        </is>
      </c>
      <c r="D12" s="4" t="inlineStr">
        <is>
          <t>Q1受费用前置拖累，Q2回升（据券商拆分）</t>
        </is>
      </c>
    </row>
    <row r="14">
      <c r="A14" s="17" t="inlineStr">
        <is>
          <t>注：野村/招商证券预测来自媒体转引，未经研报原文核验；上表“实际披露”列才是已发生事实。</t>
        </is>
      </c>
    </row>
  </sheetData>
  <mergeCells count="4">
    <mergeCell ref="A8:F8"/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宇树科技经营与财务分析底稿</dc:title>
  <dcterms:created xsi:type="dcterms:W3CDTF">2026-09-03T16:47:57Z</dcterms:created>
  <dcterms:modified xsi:type="dcterms:W3CDTF">2026-09-03T16:47:57Z</dcterms:modified>
</cp:coreProperties>
</file>
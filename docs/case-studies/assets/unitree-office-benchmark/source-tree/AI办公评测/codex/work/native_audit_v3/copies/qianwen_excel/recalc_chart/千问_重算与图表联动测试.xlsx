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guoqingtao/Desktop/AI办公评测/codex/work/native_audit_v3/copies/qianwen_excel/recalc_chart/"/>
    </mc:Choice>
  </mc:AlternateContent>
  <xr:revisionPtr revIDLastSave="0" documentId="13_ncr:1_{A3700195-B215-D842-8E74-215BD9008E46}" xr6:coauthVersionLast="47" xr6:coauthVersionMax="47" xr10:uidLastSave="{00000000-0000-0000-0000-000000000000}"/>
  <bookViews>
    <workbookView xWindow="0" yWindow="660" windowWidth="34560" windowHeight="19920" activeTab="1" xr2:uid="{00000000-000D-0000-FFFF-FFFF00000000}"/>
  </bookViews>
  <sheets>
    <sheet name="说明与来源" sheetId="1" r:id="rId1"/>
    <sheet name="原始数据-年度" sheetId="2" r:id="rId2"/>
    <sheet name="原始数据-期间与IPO" sheetId="3" r:id="rId3"/>
    <sheet name="核心计算" sheetId="4" r:id="rId4"/>
    <sheet name="趋势图表" sheetId="5" r:id="rId5"/>
    <sheet name="分析结论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4" l="1"/>
  <c r="C69" i="4"/>
  <c r="B69" i="4"/>
  <c r="D68" i="4"/>
  <c r="C68" i="4"/>
  <c r="B68" i="4"/>
  <c r="D67" i="4"/>
  <c r="C67" i="4"/>
  <c r="B67" i="4"/>
  <c r="D66" i="4"/>
  <c r="C66" i="4"/>
  <c r="B66" i="4"/>
  <c r="D65" i="4"/>
  <c r="C65" i="4"/>
  <c r="B65" i="4"/>
  <c r="D64" i="4"/>
  <c r="C64" i="4"/>
  <c r="B64" i="4"/>
  <c r="D63" i="4"/>
  <c r="C63" i="4"/>
  <c r="B63" i="4"/>
  <c r="D62" i="4"/>
  <c r="C62" i="4"/>
  <c r="B62" i="4"/>
  <c r="D61" i="4"/>
  <c r="C61" i="4"/>
  <c r="B61" i="4"/>
  <c r="D60" i="4"/>
  <c r="C60" i="4"/>
  <c r="B60" i="4"/>
  <c r="D59" i="4"/>
  <c r="C59" i="4"/>
  <c r="D58" i="4"/>
  <c r="C58" i="4"/>
  <c r="B58" i="4"/>
  <c r="B54" i="4"/>
  <c r="B53" i="4"/>
  <c r="B52" i="4"/>
  <c r="B51" i="4"/>
  <c r="B50" i="4"/>
  <c r="B49" i="4"/>
  <c r="B48" i="4"/>
  <c r="B47" i="4"/>
  <c r="B46" i="4"/>
  <c r="B45" i="4"/>
  <c r="E42" i="4"/>
  <c r="D42" i="4"/>
  <c r="C42" i="4"/>
  <c r="B42" i="4"/>
  <c r="E41" i="4"/>
  <c r="D41" i="4"/>
  <c r="C41" i="4"/>
  <c r="B41" i="4"/>
  <c r="E40" i="4"/>
  <c r="D40" i="4"/>
  <c r="C40" i="4"/>
  <c r="B40" i="4"/>
  <c r="B36" i="4"/>
  <c r="B35" i="4"/>
  <c r="B34" i="4"/>
  <c r="B31" i="4"/>
  <c r="D27" i="4"/>
  <c r="C27" i="4"/>
  <c r="B27" i="4"/>
  <c r="D26" i="4"/>
  <c r="D28" i="4" s="1"/>
  <c r="C26" i="4"/>
  <c r="C28" i="4" s="1"/>
  <c r="B26" i="4"/>
  <c r="B28" i="4" s="1"/>
  <c r="C25" i="4"/>
  <c r="D24" i="4"/>
  <c r="D25" i="4" s="1"/>
  <c r="C24" i="4"/>
  <c r="B24" i="4"/>
  <c r="D23" i="4"/>
  <c r="C23" i="4"/>
  <c r="B23" i="4"/>
  <c r="B25" i="4" s="1"/>
  <c r="C19" i="4"/>
  <c r="D18" i="4"/>
  <c r="C18" i="4"/>
  <c r="B18" i="4"/>
  <c r="D17" i="4"/>
  <c r="C17" i="4"/>
  <c r="B17" i="4"/>
  <c r="D16" i="4"/>
  <c r="C16" i="4"/>
  <c r="B16" i="4"/>
  <c r="D15" i="4"/>
  <c r="C15" i="4"/>
  <c r="B15" i="4"/>
  <c r="D14" i="4"/>
  <c r="C14" i="4"/>
  <c r="B14" i="4"/>
  <c r="D13" i="4"/>
  <c r="C13" i="4"/>
  <c r="B13" i="4"/>
  <c r="C12" i="4"/>
  <c r="B12" i="4"/>
  <c r="D11" i="4"/>
  <c r="C11" i="4"/>
  <c r="B11" i="4"/>
  <c r="C10" i="4"/>
  <c r="B10" i="4"/>
  <c r="C9" i="4"/>
  <c r="B9" i="4"/>
  <c r="C8" i="4"/>
  <c r="B8" i="4"/>
  <c r="C7" i="4"/>
  <c r="B7" i="4"/>
  <c r="D6" i="4"/>
  <c r="C6" i="4"/>
  <c r="B6" i="4"/>
  <c r="D5" i="4"/>
  <c r="C5" i="4"/>
  <c r="B5" i="4"/>
  <c r="D4" i="4"/>
  <c r="C4" i="4"/>
  <c r="B4" i="4"/>
  <c r="B33" i="4" l="1"/>
  <c r="B32" i="4"/>
</calcChain>
</file>

<file path=xl/sharedStrings.xml><?xml version="1.0" encoding="utf-8"?>
<sst xmlns="http://schemas.openxmlformats.org/spreadsheetml/2006/main" count="430" uniqueCount="268">
  <si>
    <t>宇树科技股份有限公司（688836.SH）经营与财务表现分析底稿</t>
  </si>
  <si>
    <t>资料截止时间：2026-08-30　|　编制日期：2026-09-04　|　单位：除特别说明外为人民币万元</t>
  </si>
  <si>
    <t>一、口径说明</t>
  </si>
  <si>
    <t>报告期</t>
  </si>
  <si>
    <t>2023年度、2024年度、2025年度（经审计，容诚审字[2026]230Z1692号，标准无保留意见）</t>
  </si>
  <si>
    <t>审阅期间</t>
  </si>
  <si>
    <t>2026年1-3月（经审阅，容诚阅字[2026]230Z0038号）</t>
  </si>
  <si>
    <t>未审计期间</t>
  </si>
  <si>
    <t>2026年1-6月（未经审计，经第一届董事会第二十二次会议审议，见上市公告书附件二）</t>
  </si>
  <si>
    <t>预测数据</t>
  </si>
  <si>
    <t>招股说明书所载2026年1-6月预计数据为管理层估计，未经审计或审阅，不构成盈利预测或业绩承诺；本底稿以黄底单独列示并与实际数对照，绝不混同于已发生事实</t>
  </si>
  <si>
    <t>金额单位</t>
  </si>
  <si>
    <t>统一为人民币万元；每股/单价数据为元；销量为台；比率以%列示（单元格存储为小数）</t>
  </si>
  <si>
    <t>颜色图例</t>
  </si>
  <si>
    <t>蓝字=披露原文硬编码输入；黑字=本表公式；绿字=跨表引用公式；黄底=预测数据</t>
  </si>
  <si>
    <t>可编辑性</t>
  </si>
  <si>
    <t>修改蓝字输入后，全部公式与图表自动重算</t>
  </si>
  <si>
    <t>二、资料来源清单</t>
  </si>
  <si>
    <t>编号</t>
  </si>
  <si>
    <t>资料名称</t>
  </si>
  <si>
    <t>披露/批复日期</t>
  </si>
  <si>
    <t>出具方</t>
  </si>
  <si>
    <t>用途</t>
  </si>
  <si>
    <t>获取方式</t>
  </si>
  <si>
    <t>S1</t>
  </si>
  <si>
    <t>首次公开发行股票科创板上市公告书</t>
  </si>
  <si>
    <t>2026-08-18</t>
  </si>
  <si>
    <t>宇树科技/中信证券</t>
  </si>
  <si>
    <t>IPO要素、2026H1未审计报表、2025年末比较数据</t>
  </si>
  <si>
    <t>上交所网站披露;PDF镜像 stockmc.xueqiu.com/202608/688836_20260818_ROD1.pdf</t>
  </si>
  <si>
    <t>S2</t>
  </si>
  <si>
    <t>首次公开发行股票并在科创板上市招股说明书(上会稿)</t>
  </si>
  <si>
    <t>2026-05</t>
  </si>
  <si>
    <t>宇树科技</t>
  </si>
  <si>
    <t>报告期2023-2025财务与业务数据、产品结构、募投</t>
  </si>
  <si>
    <t>上交所披露;镜像 pdf.dfcfw.com/pdf/H2_AN202605251822861710_1.pdf</t>
  </si>
  <si>
    <t>S3</t>
  </si>
  <si>
    <t>招股说明书(注册稿)及注册批复 证监许可〔2026〕1612号</t>
  </si>
  <si>
    <t>2026-07-01</t>
  </si>
  <si>
    <t>中国证监会</t>
  </si>
  <si>
    <t>法定生效版本;关键数字已与S1/S2核对一致</t>
  </si>
  <si>
    <t>上交所网站,建议人工复核</t>
  </si>
  <si>
    <t>S4</t>
  </si>
  <si>
    <t>审计报告 容诚审字[2026]230Z1692号</t>
  </si>
  <si>
    <t>2026</t>
  </si>
  <si>
    <t>容诚会计师事务所</t>
  </si>
  <si>
    <t>2023-2025审计</t>
  </si>
  <si>
    <t>招股意向书附录</t>
  </si>
  <si>
    <t>S5</t>
  </si>
  <si>
    <t>审阅报告 容诚阅字[2026]230Z0038号</t>
  </si>
  <si>
    <t>2026年1-3月审阅</t>
  </si>
  <si>
    <t>S6</t>
  </si>
  <si>
    <t>上市公告书附件二:2026年1-6月财务会计报表</t>
  </si>
  <si>
    <t>宇树科技(未经审计)</t>
  </si>
  <si>
    <t>2026H1三大报表</t>
  </si>
  <si>
    <t>同S1</t>
  </si>
  <si>
    <t>三、边界与需人工核验事项</t>
  </si>
  <si>
    <t>1) 2022年度营收1.23亿元等仅见于媒体报道,未纳入正式表(招股书报告期为2023-2025)。</t>
  </si>
  <si>
    <t>2) 上市首日(2026-08-19)及后续二级市场涨跌幅属行情数据,非披露财务口径,本底稿不纳入;如需要请以上交所行情为准。</t>
  </si>
  <si>
    <t>3) 本底稿招股书数据取自上会稿镜像;注册稿为法定文本,关键数字(2025营收169,926.93万元、扣非归母59,075.28万元、主营毛利率60.13%、研发费用14,496.56万元)已与上市公告书交叉验证一致,仍建议以注册稿原文页码复核。</t>
  </si>
  <si>
    <t>4) 2026H1数据未经审计;2026Q1为审阅数。</t>
  </si>
  <si>
    <t>原始数据·年度（2023-2025，经审计）</t>
  </si>
  <si>
    <t>单位：万元（每股/单价除外）　来源：S2招股说明书(上会稿)/S1上市公告书</t>
  </si>
  <si>
    <t>项目</t>
  </si>
  <si>
    <t>单位</t>
  </si>
  <si>
    <t>2023</t>
  </si>
  <si>
    <t>2024</t>
  </si>
  <si>
    <t>2025</t>
  </si>
  <si>
    <t>来源/备注</t>
  </si>
  <si>
    <t>营业收入</t>
  </si>
  <si>
    <t>万元</t>
  </si>
  <si>
    <t>S2/S1</t>
  </si>
  <si>
    <t>主营业务收入</t>
  </si>
  <si>
    <t>－四足机器人收入</t>
  </si>
  <si>
    <t>－人形机器人收入</t>
  </si>
  <si>
    <t>－机器人组件收入</t>
  </si>
  <si>
    <t>－其他收入</t>
  </si>
  <si>
    <t>主营业务毛利率</t>
  </si>
  <si>
    <t>%</t>
  </si>
  <si>
    <t>－四足机器人毛利率</t>
  </si>
  <si>
    <t>－人形机器人毛利率</t>
  </si>
  <si>
    <t>－组件毛利率</t>
  </si>
  <si>
    <t>－其他毛利率</t>
  </si>
  <si>
    <t>综合毛利率</t>
  </si>
  <si>
    <t>S2同业比较表</t>
  </si>
  <si>
    <t>主营业务毛利</t>
  </si>
  <si>
    <t>－四足机器人毛利</t>
  </si>
  <si>
    <t>－人形机器人毛利</t>
  </si>
  <si>
    <t>－组件毛利</t>
  </si>
  <si>
    <t>－其他毛利</t>
  </si>
  <si>
    <t>归母净利润</t>
  </si>
  <si>
    <t>扣非归母净利润</t>
  </si>
  <si>
    <t>其中:股份支付费用</t>
  </si>
  <si>
    <t>S2 非经常性,计入管理费用</t>
  </si>
  <si>
    <t>销售费用</t>
  </si>
  <si>
    <t>管理费用</t>
  </si>
  <si>
    <t>研发费用</t>
  </si>
  <si>
    <t>财务费用</t>
  </si>
  <si>
    <t>经营活动现金流量净额</t>
  </si>
  <si>
    <t>资产总额</t>
  </si>
  <si>
    <t>归属于母公司所有者权益</t>
  </si>
  <si>
    <t>资产负债率(合并)</t>
  </si>
  <si>
    <t>加权平均ROE</t>
  </si>
  <si>
    <t>扣非加权平均ROE</t>
  </si>
  <si>
    <t>基本每股收益</t>
  </si>
  <si>
    <t>元</t>
  </si>
  <si>
    <t>四足机器人销量</t>
  </si>
  <si>
    <t>台</t>
  </si>
  <si>
    <t>四足机器人单价</t>
  </si>
  <si>
    <t>万元/台</t>
  </si>
  <si>
    <t>人形机器人销量</t>
  </si>
  <si>
    <t>人形机器人单价</t>
  </si>
  <si>
    <t>人形机器人出货量</t>
  </si>
  <si>
    <t>S2 全球第一</t>
  </si>
  <si>
    <t>员工总数(年末)</t>
  </si>
  <si>
    <t>人</t>
  </si>
  <si>
    <t>研发人员(年末)</t>
  </si>
  <si>
    <t>S2 占比35.66%</t>
  </si>
  <si>
    <t>美国市场收入占比</t>
  </si>
  <si>
    <t>S1风险因素</t>
  </si>
  <si>
    <t>前五大客户收入占比</t>
  </si>
  <si>
    <t>线上销售收入占比</t>
  </si>
  <si>
    <t>原始数据·期间（审阅/未审计）与IPO要素</t>
  </si>
  <si>
    <t>2025Q1</t>
  </si>
  <si>
    <t>2025H1</t>
  </si>
  <si>
    <t>2026Q1</t>
  </si>
  <si>
    <t>2026H1</t>
  </si>
  <si>
    <t>审计属性</t>
  </si>
  <si>
    <t>来源</t>
  </si>
  <si>
    <t>25Q1审阅;25H1/26H1未审计</t>
  </si>
  <si>
    <t>营业成本</t>
  </si>
  <si>
    <t>未审计</t>
  </si>
  <si>
    <t>S1附件二</t>
  </si>
  <si>
    <t>同上</t>
  </si>
  <si>
    <t>25H1含股份支付34,906.55</t>
  </si>
  <si>
    <t>归母所有者权益</t>
  </si>
  <si>
    <t>2026年1-6月预计数据（招股书·预测·未经审计或审阅·不构成盈利预测）</t>
  </si>
  <si>
    <t>预计下限</t>
  </si>
  <si>
    <t>预计上限</t>
  </si>
  <si>
    <t>上年同期</t>
  </si>
  <si>
    <t>同比区间</t>
  </si>
  <si>
    <t>属性</t>
  </si>
  <si>
    <t>+35.62%至+45.41%</t>
  </si>
  <si>
    <t>预测</t>
  </si>
  <si>
    <t>扭亏</t>
  </si>
  <si>
    <t>-21.97%至-6.43%</t>
  </si>
  <si>
    <t>IPO与发行要素（S1上市公告书, 2026-08-18）</t>
  </si>
  <si>
    <t>发行价格</t>
  </si>
  <si>
    <t>元/股</t>
  </si>
  <si>
    <t>发行后总股本</t>
  </si>
  <si>
    <t>万股</t>
  </si>
  <si>
    <t>募集资金总额</t>
  </si>
  <si>
    <t>募集资金净额</t>
  </si>
  <si>
    <t>发行费用(不含税)</t>
  </si>
  <si>
    <t>发行市盈率(扣非孰低)</t>
  </si>
  <si>
    <t>倍</t>
  </si>
  <si>
    <t>发行市净率</t>
  </si>
  <si>
    <t>发行后每股收益</t>
  </si>
  <si>
    <t>发行后每股净资产</t>
  </si>
  <si>
    <t>行业平均静态市盈率(T-3,C34)</t>
  </si>
  <si>
    <t>拟使用募集资金(募投合计)</t>
  </si>
  <si>
    <t>发行前最后一轮投后估值(2025-06)</t>
  </si>
  <si>
    <t>证券代码/上市板块/上市日期</t>
  </si>
  <si>
    <t>688836.SH / 科创板 / 2026-08-19</t>
  </si>
  <si>
    <t>本次发行新股数量</t>
  </si>
  <si>
    <t>4,044.6434万股（占发行后总股本10%）</t>
  </si>
  <si>
    <t>特别表决权: 王兴兴表决权</t>
  </si>
  <si>
    <t>发行前68.7816%; 发行后≤65.3090%</t>
  </si>
  <si>
    <t>战略配售</t>
  </si>
  <si>
    <t>占20%; 社保基金/深度求索/昆仑资本/南网产融/天翼资本/启善投资(腾讯关联)/中证投资/员工资管计划, 限售12-36个月</t>
  </si>
  <si>
    <t>核心计算（全部为公式，修改原始数据自动重算）</t>
  </si>
  <si>
    <t>公式/口径</t>
  </si>
  <si>
    <t>营业收入同比增速</t>
  </si>
  <si>
    <t>收入YoY</t>
  </si>
  <si>
    <t>扣非归母净利润同比增速</t>
  </si>
  <si>
    <t>扣非YoY</t>
  </si>
  <si>
    <t>归母净利润同比增速</t>
  </si>
  <si>
    <t>归母YoY</t>
  </si>
  <si>
    <t>人形机器人收入占主营比重</t>
  </si>
  <si>
    <t>人形/主营</t>
  </si>
  <si>
    <t>四足机器人收入占主营比重</t>
  </si>
  <si>
    <t>四足/主营</t>
  </si>
  <si>
    <t>四足机器人销量同比</t>
  </si>
  <si>
    <t>销量YoY</t>
  </si>
  <si>
    <t>人形机器人销量同比</t>
  </si>
  <si>
    <t>26H1按未审计成本推算</t>
  </si>
  <si>
    <t>披露值</t>
  </si>
  <si>
    <t>扣非净利率</t>
  </si>
  <si>
    <t>扣非/收入</t>
  </si>
  <si>
    <t>归母净利率</t>
  </si>
  <si>
    <t>归母/收入</t>
  </si>
  <si>
    <t>研发费用率</t>
  </si>
  <si>
    <t>研发/收入</t>
  </si>
  <si>
    <t>销售费用率</t>
  </si>
  <si>
    <t>销售/收入</t>
  </si>
  <si>
    <t>管理费用率</t>
  </si>
  <si>
    <t>25含股份支付</t>
  </si>
  <si>
    <t>经营现金流/扣非净利润</t>
  </si>
  <si>
    <t>盈利现金含量</t>
  </si>
  <si>
    <t>营业收入CAGR(2023-2025)</t>
  </si>
  <si>
    <t>(末/初)^(1/2)-1</t>
  </si>
  <si>
    <t>单价交叉验证（计算值 vs 披露值）</t>
  </si>
  <si>
    <t>口径</t>
  </si>
  <si>
    <t>四足计算单价(万元/台)</t>
  </si>
  <si>
    <t>收入/销量</t>
  </si>
  <si>
    <t>四足披露单价(万元/台)</t>
  </si>
  <si>
    <t>S2披露</t>
  </si>
  <si>
    <t>差异</t>
  </si>
  <si>
    <t>四舍五入差异</t>
  </si>
  <si>
    <t>人形计算单价(万元/台)</t>
  </si>
  <si>
    <t>人形披露单价(万元/台)</t>
  </si>
  <si>
    <t>发行估值测算</t>
  </si>
  <si>
    <t>发行市值(万元)</t>
  </si>
  <si>
    <t>发行价×发行后总股本</t>
  </si>
  <si>
    <t>发行市值/募资总额(倍)</t>
  </si>
  <si>
    <t>应≈10(新股占10%)</t>
  </si>
  <si>
    <t>P/S(2025,发行市值口径,倍)</t>
  </si>
  <si>
    <t>市值/2025收入</t>
  </si>
  <si>
    <t>P/E交叉验证(倍)</t>
  </si>
  <si>
    <t>发行价/发行后EPS,披露219.23</t>
  </si>
  <si>
    <t>EPS交叉验证(元)</t>
  </si>
  <si>
    <t>2025孰低归母/总股本,披露0.69</t>
  </si>
  <si>
    <t>募资净额勾稽(万元)</t>
  </si>
  <si>
    <t>总额-费用-净额=0</t>
  </si>
  <si>
    <t>预测 vs 实际（2026H1：招股书预计区间 vs 上市公告书实际·未审计）</t>
  </si>
  <si>
    <t>实际</t>
  </si>
  <si>
    <t>对照结论</t>
  </si>
  <si>
    <t>数据勾稽校验（结果应≈0）</t>
  </si>
  <si>
    <t>2023 分产品收入合计-主营</t>
  </si>
  <si>
    <t>2024 分产品收入合计-主营</t>
  </si>
  <si>
    <t>2025 分产品收入合计-主营</t>
  </si>
  <si>
    <t>2023 分产品毛利合计-主营毛利</t>
  </si>
  <si>
    <t>2024 分产品毛利合计-主营毛利</t>
  </si>
  <si>
    <t>2025 分产品毛利合计-主营毛利</t>
  </si>
  <si>
    <t>2025 四足毛利交叉(收入×毛利率-毛利)</t>
  </si>
  <si>
    <t>2025 人形毛利交叉(收入×毛利率-毛利)</t>
  </si>
  <si>
    <t>CAGR与披露226.78%之差</t>
  </si>
  <si>
    <t>2026H1收入YoY与披露48.54%之差</t>
  </si>
  <si>
    <t>图表数据区（供“趋势图表”引用）</t>
  </si>
  <si>
    <t>营业收入(亿元)</t>
  </si>
  <si>
    <t>营业收入YoY</t>
  </si>
  <si>
    <t>归母净利润(亿元)</t>
  </si>
  <si>
    <t>扣非归母净利润(亿元)</t>
  </si>
  <si>
    <t>四足机器人毛利率</t>
  </si>
  <si>
    <t>人形机器人毛利率</t>
  </si>
  <si>
    <t>人形机器人收入(亿元)</t>
  </si>
  <si>
    <t>四足机器人收入(亿元)</t>
  </si>
  <si>
    <t>组件及其他收入(亿元)</t>
  </si>
  <si>
    <t>四足销量(台)</t>
  </si>
  <si>
    <t>人形销量(台)</t>
  </si>
  <si>
    <t>趋势图表（引用“核心计算”图表数据区，随数据自动更新）</t>
  </si>
  <si>
    <t>分析结论（基于上交所披露文件，资料截止2026-08-30）</t>
  </si>
  <si>
    <t>一、成长性</t>
  </si>
  <si>
    <t>2023-2025年营业收入由15,913.44万元增至169,926.93万元，CAGR 226.78%（公式校验与披露一致）；扣非归母净利润由-1,801.91万元增至59,075.28万元，2024年起扭亏并快速放大。2026H1实现营业收入115,224.56万元（+48.54%，未审计），增速较报告期年度复合水平明显放缓，与招股书风险提示一致。</t>
  </si>
  <si>
    <t>二、收入结构</t>
  </si>
  <si>
    <t>人形机器人2025年收入86,783.19万元、占主营51.78%，首次超过四足机器人（41.62%）成为第一收入来源；2025年人形销量5,215台、出货5,511台（披露为全球第一），四足销量23,037台。产品结构切换是毛利率与估值叙事的核心驱动。</t>
  </si>
  <si>
    <t>三、盈利能力</t>
  </si>
  <si>
    <t>主营业务毛利率44.22%→56.74%→60.13%，2025年综合毛利率60.44%高于同行业可比公司均值44.44%。其中人形毛利率87.67%→69.26%→63.18%逐年回落（G1占比提升叠加主动降价），四足毛利率43.71%→56.72%持续改善。2025年归母净利率仅约16.4%，主因股份支付34,906.55万元计入管理费用；扣非净利率34.8%更能反映经营层面盈利。</t>
  </si>
  <si>
    <t>四、费用与投入</t>
  </si>
  <si>
    <t>研发费用4,995.18→7,001.70→14,496.56万元，费用率31.39%→8.53%（规模效应）；2026H1研发13,590.65万元、同比增加8,203.74万元，叠加春晚等品牌推广使销售费用大增，导致2026H1扣非净利同比-19.34%、2026Q1扣非-52.55%——高投入期利润承压是现阶段主要特征。</t>
  </si>
  <si>
    <t>五、现金流与资产负债表</t>
  </si>
  <si>
    <t>2025年经营现金流净额66,998.18万元，约为扣非净利的1.13倍，盈利现金含量高；2026H1为23,154.53万元（-32.53%），系备货与费用付现增加。2026-06-30总资产384,546.94万元、归母权益287,998.48万元、合并资产负债率约25.1%，货币资金约14.92亿元，叠加募资净额591,714.92万元，资金储备充裕。</t>
  </si>
  <si>
    <t>六、估值与发行</t>
  </si>
  <si>
    <t>发行价150.80元/股，对应发行后市值约609.93亿元；发行市盈率219.23倍（扣非孰低口径）、P/S(2025)约35.9倍，估值锚定高成长预期，显著高于C34行业平均静态市盈率38.56倍所隐含水平。战略配售引入社保基金、深度求索、腾讯关联方等，锁定期12-36个月。</t>
  </si>
  <si>
    <t>七、治理与风险</t>
  </si>
  <si>
    <t>特别表决权安排下王兴兴发行后表决权≤65.3090%；美国市场收入占比13.30%-19.54%，FCC 2026-07-28新规对新型号认证构成潜在限制；人形毛利率下行、行业竞争加剧（含特斯拉Optimus等）、股份支付后续授予将再增费用，均为招股书列示的核心风险。</t>
  </si>
  <si>
    <t>八、预测对照</t>
  </si>
  <si>
    <t>招股书预计2026H1营收105,200-112,800万元，实际（未审计）115,224.56万元，高于预计上限；扣非实际24,393.03万元，落于预计区间23,600-28,300万元内。预测数据在本底稿中均以黄底单独列示，未与已发生数据混同。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</si>
</sst>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family val="2"/>
      <scheme val="minor"/>
    </font>
    <font>
      <b/>
      <sz val="14"/>
      <name val="Arial"/>
      <family val="2"/>
    </font>
    <font>
      <i/>
      <sz val="9"/>
      <color rgb="FF80808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sz val="10"/>
      <color rgb="FF008000"/>
      <name val="Arial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/>
    <xf numFmtId="0" fontId="2" fillId="0" borderId="1" xfId="0" applyFont="1" applyBorder="1"/>
    <xf numFmtId="4" fontId="7" fillId="0" borderId="1" xfId="0" applyNumberFormat="1" applyFont="1" applyBorder="1"/>
    <xf numFmtId="10" fontId="7" fillId="0" borderId="1" xfId="0" applyNumberFormat="1" applyFont="1" applyBorder="1"/>
    <xf numFmtId="0" fontId="0" fillId="0" borderId="1" xfId="0" applyBorder="1"/>
    <xf numFmtId="2" fontId="7" fillId="0" borderId="1" xfId="0" applyNumberFormat="1" applyFont="1" applyBorder="1"/>
    <xf numFmtId="3" fontId="7" fillId="0" borderId="1" xfId="0" applyNumberFormat="1" applyFont="1" applyBorder="1"/>
    <xf numFmtId="4" fontId="7" fillId="3" borderId="1" xfId="0" applyNumberFormat="1" applyFont="1" applyFill="1" applyBorder="1"/>
    <xf numFmtId="10" fontId="9" fillId="0" borderId="1" xfId="0" applyNumberFormat="1" applyFont="1" applyBorder="1"/>
    <xf numFmtId="2" fontId="9" fillId="0" borderId="1" xfId="0" applyNumberFormat="1" applyFont="1" applyBorder="1"/>
    <xf numFmtId="4" fontId="9" fillId="0" borderId="1" xfId="0" applyNumberFormat="1" applyFont="1" applyBorder="1"/>
    <xf numFmtId="0" fontId="9" fillId="0" borderId="1" xfId="0" applyFont="1" applyBorder="1"/>
    <xf numFmtId="4" fontId="5" fillId="0" borderId="1" xfId="0" applyNumberFormat="1" applyFont="1" applyBorder="1"/>
    <xf numFmtId="10" fontId="5" fillId="0" borderId="1" xfId="0" applyNumberFormat="1" applyFont="1" applyBorder="1"/>
    <xf numFmtId="3" fontId="9" fillId="0" borderId="1" xfId="0" applyNumberFormat="1" applyFont="1" applyBorder="1"/>
    <xf numFmtId="0" fontId="5" fillId="0" borderId="0" xfId="0" applyFont="1" applyAlignment="1">
      <alignment vertical="top" wrapText="1"/>
    </xf>
    <xf numFmtId="0" fontId="0" fillId="0" borderId="0" xfId="0"/>
    <xf numFmtId="0" fontId="2" fillId="0" borderId="0" xfId="0" applyFont="1"/>
    <xf numFmtId="0" fontId="7" fillId="0" borderId="0" xfId="0" applyFont="1"/>
    <xf numFmtId="0" fontId="3" fillId="3" borderId="0" xfId="0" applyFont="1" applyFill="1"/>
    <xf numFmtId="0" fontId="3" fillId="4" borderId="0" xfId="0" applyFont="1" applyFill="1"/>
    <xf numFmtId="0" fontId="8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营业收入</a:t>
            </a:r>
            <a:r>
              <a:rPr lang="en-US" altLang="zh-CN"/>
              <a:t>(</a:t>
            </a:r>
            <a:r>
              <a:rPr lang="zh-CN" altLang="en-US"/>
              <a:t>亿元</a:t>
            </a:r>
            <a:r>
              <a:rPr lang="en-US" altLang="zh-CN"/>
              <a:t>)</a:t>
            </a:r>
            <a:r>
              <a:rPr lang="zh-CN" altLang="en-US"/>
              <a:t>与同比增速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核心计算!$B$58</c:f>
              <c:strCache>
                <c:ptCount val="1"/>
                <c:pt idx="0">
                  <c:v>1.59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核心计算!$B$57:$D$57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核心计算!$B$58:$C$58</c:f>
              <c:numCache>
                <c:formatCode>#,##0.00</c:formatCode>
                <c:ptCount val="2"/>
                <c:pt idx="0">
                  <c:v>1.5913440000000001</c:v>
                </c:pt>
                <c:pt idx="1">
                  <c:v>7.8554139999999997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2-CC4F-8F82-750D7E95AE65}"/>
            </c:ext>
          </c:extLst>
        </c:ser>
        <c:ser>
          <c:idx val="1"/>
          <c:order val="1"/>
          <c:tx>
            <c:strRef>
              <c:f>核心计算!$C$58</c:f>
              <c:strCache>
                <c:ptCount val="1"/>
                <c:pt idx="0">
                  <c:v>7.86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核心计算!$B$57:$D$57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核心计算!$C$58:$D$58</c:f>
              <c:numCache>
                <c:formatCode>#,##0.00</c:formatCode>
                <c:ptCount val="2"/>
                <c:pt idx="0">
                  <c:v>7.8554139999999997</c:v>
                </c:pt>
                <c:pt idx="1">
                  <c:v>16.992692999999999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E2-CC4F-8F82-750D7E95AE65}"/>
            </c:ext>
          </c:extLst>
        </c:ser>
        <c:ser>
          <c:idx val="2"/>
          <c:order val="2"/>
          <c:tx>
            <c:strRef>
              <c:f>核心计算!$D$58</c:f>
              <c:strCache>
                <c:ptCount val="1"/>
                <c:pt idx="0">
                  <c:v>16.99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核心计算!$B$57:$D$57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核心计算!$D$58:$E$58</c:f>
              <c:numCache>
                <c:formatCode>General</c:formatCode>
                <c:ptCount val="2"/>
                <c:pt idx="0" formatCode="#,##0.00">
                  <c:v>16.992692999999999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E2-CC4F-8F82-750D7E95A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3"/>
          <c:order val="3"/>
          <c:tx>
            <c:strRef>
              <c:f>核心计算!$C$59</c:f>
              <c:strCache>
                <c:ptCount val="1"/>
                <c:pt idx="0">
                  <c:v>393.63%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核心计算!$C$59:$D$59</c:f>
              <c:numCache>
                <c:formatCode>0.00%</c:formatCode>
                <c:ptCount val="2"/>
                <c:pt idx="0">
                  <c:v>3.936339345861108</c:v>
                </c:pt>
                <c:pt idx="1">
                  <c:v>1.1631823605986904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3E2-CC4F-8F82-750D7E95AE65}"/>
            </c:ext>
          </c:extLst>
        </c:ser>
        <c:ser>
          <c:idx val="4"/>
          <c:order val="4"/>
          <c:tx>
            <c:strRef>
              <c:f>核心计算!$D$59</c:f>
              <c:strCache>
                <c:ptCount val="1"/>
                <c:pt idx="0">
                  <c:v>116.32%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核心计算!$D$59:$E$59</c:f>
              <c:numCache>
                <c:formatCode>General</c:formatCode>
                <c:ptCount val="2"/>
                <c:pt idx="0" formatCode="0.00%">
                  <c:v>1.1631823605986904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3E2-CC4F-8F82-750D7E95A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亿元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YoY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归母净利润 </a:t>
            </a:r>
            <a:r>
              <a:rPr lang="en"/>
              <a:t>vs </a:t>
            </a:r>
            <a:r>
              <a:rPr lang="zh-CN" altLang="en-US"/>
              <a:t>扣非归母净利润</a:t>
            </a:r>
            <a:r>
              <a:rPr lang="en-US" altLang="zh-CN"/>
              <a:t>(</a:t>
            </a:r>
            <a:r>
              <a:rPr lang="zh-CN" altLang="en-US"/>
              <a:t>亿元</a:t>
            </a:r>
            <a:r>
              <a:rPr lang="en-US" altLang="zh-CN"/>
              <a:t>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核心计算!$B$60</c:f>
              <c:strCache>
                <c:ptCount val="1"/>
                <c:pt idx="0">
                  <c:v>-0.11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核心计算!$B$57:$D$57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核心计算!$B$61</c:f>
              <c:numCache>
                <c:formatCode>#,##0.00</c:formatCode>
                <c:ptCount val="1"/>
                <c:pt idx="0">
                  <c:v>-0.18019100000000002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EF-7F4A-8986-3D1350A45E0A}"/>
            </c:ext>
          </c:extLst>
        </c:ser>
        <c:ser>
          <c:idx val="1"/>
          <c:order val="1"/>
          <c:tx>
            <c:strRef>
              <c:f>核心计算!$C$60</c:f>
              <c:strCache>
                <c:ptCount val="1"/>
                <c:pt idx="0">
                  <c:v>0.95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核心计算!$B$57:$D$57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核心计算!$C$61</c:f>
              <c:numCache>
                <c:formatCode>#,##0.00</c:formatCode>
                <c:ptCount val="1"/>
                <c:pt idx="0">
                  <c:v>0.78476499999999993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EF-7F4A-8986-3D1350A45E0A}"/>
            </c:ext>
          </c:extLst>
        </c:ser>
        <c:ser>
          <c:idx val="2"/>
          <c:order val="2"/>
          <c:tx>
            <c:strRef>
              <c:f>核心计算!$D$60</c:f>
              <c:strCache>
                <c:ptCount val="1"/>
                <c:pt idx="0">
                  <c:v>2.78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核心计算!$B$57:$D$57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核心计算!$D$61</c:f>
              <c:numCache>
                <c:formatCode>#,##0.00</c:formatCode>
                <c:ptCount val="1"/>
                <c:pt idx="0">
                  <c:v>5.9075280000000001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EF-7F4A-8986-3D1350A45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毛利率趋势</a:t>
            </a:r>
            <a:r>
              <a:rPr lang="en-US" altLang="zh-CN"/>
              <a:t>(</a:t>
            </a:r>
            <a:r>
              <a:rPr lang="zh-CN" altLang="en-US"/>
              <a:t>主营</a:t>
            </a:r>
            <a:r>
              <a:rPr lang="en-US" altLang="zh-CN"/>
              <a:t>/</a:t>
            </a:r>
            <a:r>
              <a:rPr lang="zh-CN" altLang="en-US"/>
              <a:t>四足</a:t>
            </a:r>
            <a:r>
              <a:rPr lang="en-US" altLang="zh-CN"/>
              <a:t>/</a:t>
            </a:r>
            <a:r>
              <a:rPr lang="zh-CN" altLang="en-US"/>
              <a:t>人形</a:t>
            </a:r>
            <a:r>
              <a:rPr lang="en-US" altLang="zh-CN"/>
              <a:t>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核心计算!$B$62</c:f>
              <c:strCache>
                <c:ptCount val="1"/>
                <c:pt idx="0">
                  <c:v>44.22%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核心计算!$B$57:$D$57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核心计算!$B$63:$B$64</c:f>
              <c:numCache>
                <c:formatCode>0.00%</c:formatCode>
                <c:ptCount val="2"/>
                <c:pt idx="0">
                  <c:v>0.43709999999999999</c:v>
                </c:pt>
                <c:pt idx="1">
                  <c:v>0.87670000000000003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4ED-CC49-B862-0C3C70C0FD58}"/>
            </c:ext>
          </c:extLst>
        </c:ser>
        <c:ser>
          <c:idx val="1"/>
          <c:order val="1"/>
          <c:tx>
            <c:strRef>
              <c:f>核心计算!$C$62</c:f>
              <c:strCache>
                <c:ptCount val="1"/>
                <c:pt idx="0">
                  <c:v>56.74%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核心计算!$B$57:$D$57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核心计算!$C$63:$C$64</c:f>
              <c:numCache>
                <c:formatCode>0.00%</c:formatCode>
                <c:ptCount val="2"/>
                <c:pt idx="0">
                  <c:v>0.51649999999999996</c:v>
                </c:pt>
                <c:pt idx="1">
                  <c:v>0.69259999999999999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4ED-CC49-B862-0C3C70C0FD58}"/>
            </c:ext>
          </c:extLst>
        </c:ser>
        <c:ser>
          <c:idx val="2"/>
          <c:order val="2"/>
          <c:tx>
            <c:strRef>
              <c:f>核心计算!$D$62</c:f>
              <c:strCache>
                <c:ptCount val="1"/>
                <c:pt idx="0">
                  <c:v>60.13%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核心计算!$B$57:$D$57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核心计算!$D$63:$D$64</c:f>
              <c:numCache>
                <c:formatCode>0.00%</c:formatCode>
                <c:ptCount val="2"/>
                <c:pt idx="0">
                  <c:v>0.56720000000000004</c:v>
                </c:pt>
                <c:pt idx="1">
                  <c:v>0.63180000000000003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4ED-CC49-B862-0C3C70C0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主营业务收入结构</a:t>
            </a:r>
            <a:r>
              <a:rPr lang="en-US" altLang="zh-CN"/>
              <a:t>(</a:t>
            </a:r>
            <a:r>
              <a:rPr lang="zh-CN" altLang="en-US"/>
              <a:t>亿元</a:t>
            </a:r>
            <a:r>
              <a:rPr lang="en-US" altLang="zh-CN"/>
              <a:t>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核心计算!$B$65</c:f>
              <c:strCache>
                <c:ptCount val="1"/>
                <c:pt idx="0">
                  <c:v>0.03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核心计算!$B$57:$D$57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核心计算!$B$66:$B$67</c:f>
              <c:numCache>
                <c:formatCode>#,##0.00</c:formatCode>
                <c:ptCount val="2"/>
                <c:pt idx="0">
                  <c:v>1.1938090000000001</c:v>
                </c:pt>
                <c:pt idx="1">
                  <c:v>0.35188500000000006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7-7A42-8D63-DC3FE411EFEF}"/>
            </c:ext>
          </c:extLst>
        </c:ser>
        <c:ser>
          <c:idx val="1"/>
          <c:order val="1"/>
          <c:tx>
            <c:strRef>
              <c:f>核心计算!$C$65</c:f>
              <c:strCache>
                <c:ptCount val="1"/>
                <c:pt idx="0">
                  <c:v>1.07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核心计算!$B$57:$D$57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核心计算!$C$66:$C$67</c:f>
              <c:numCache>
                <c:formatCode>#,##0.00</c:formatCode>
                <c:ptCount val="2"/>
                <c:pt idx="0">
                  <c:v>2.305437</c:v>
                </c:pt>
                <c:pt idx="1">
                  <c:v>0.49831499999999995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37-7A42-8D63-DC3FE411EFEF}"/>
            </c:ext>
          </c:extLst>
        </c:ser>
        <c:ser>
          <c:idx val="2"/>
          <c:order val="2"/>
          <c:tx>
            <c:strRef>
              <c:f>核心计算!$D$65</c:f>
              <c:strCache>
                <c:ptCount val="1"/>
                <c:pt idx="0">
                  <c:v>8.68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核心计算!$B$57:$D$57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核心计算!$D$66:$D$67</c:f>
              <c:numCache>
                <c:formatCode>#,##0.00</c:formatCode>
                <c:ptCount val="2"/>
                <c:pt idx="0">
                  <c:v>6.9762559999999993</c:v>
                </c:pt>
                <c:pt idx="1">
                  <c:v>1.1065339999999999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37-7A42-8D63-DC3FE411E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机器人销量</a:t>
            </a:r>
            <a:r>
              <a:rPr lang="en-US" altLang="zh-CN"/>
              <a:t>(</a:t>
            </a:r>
            <a:r>
              <a:rPr lang="zh-CN" altLang="en-US"/>
              <a:t>台</a:t>
            </a:r>
            <a:r>
              <a:rPr lang="en-US" altLang="zh-CN"/>
              <a:t>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核心计算!$B$68</c:f>
              <c:strCache>
                <c:ptCount val="1"/>
                <c:pt idx="0">
                  <c:v>3,121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核心计算!$B$57:$D$57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核心计算!$B$69</c:f>
              <c:numCache>
                <c:formatCode>#,##0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2-284A-B6A3-5D99AA2B9F56}"/>
            </c:ext>
          </c:extLst>
        </c:ser>
        <c:ser>
          <c:idx val="1"/>
          <c:order val="1"/>
          <c:tx>
            <c:strRef>
              <c:f>核心计算!$C$68</c:f>
              <c:strCache>
                <c:ptCount val="1"/>
                <c:pt idx="0">
                  <c:v>7,136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核心计算!$B$57:$D$57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核心计算!$C$69</c:f>
              <c:numCache>
                <c:formatCode>#,##0</c:formatCode>
                <c:ptCount val="1"/>
                <c:pt idx="0">
                  <c:v>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C2-284A-B6A3-5D99AA2B9F56}"/>
            </c:ext>
          </c:extLst>
        </c:ser>
        <c:ser>
          <c:idx val="2"/>
          <c:order val="2"/>
          <c:tx>
            <c:strRef>
              <c:f>核心计算!$D$68</c:f>
              <c:strCache>
                <c:ptCount val="1"/>
                <c:pt idx="0">
                  <c:v>23,037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核心计算!$B$57:$D$57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核心计算!$D$69</c:f>
              <c:numCache>
                <c:formatCode>#,##0</c:formatCode>
                <c:ptCount val="1"/>
                <c:pt idx="0">
                  <c:v>5215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C2-284A-B6A3-5D99AA2B9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648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36</xdr:row>
      <xdr:rowOff>0</xdr:rowOff>
    </xdr:from>
    <xdr:ext cx="648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53</xdr:row>
      <xdr:rowOff>0</xdr:rowOff>
    </xdr:from>
    <xdr:ext cx="6480000" cy="32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70</xdr:row>
      <xdr:rowOff>0</xdr:rowOff>
    </xdr:from>
    <xdr:ext cx="6480000" cy="32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showGridLines="0" workbookViewId="0"/>
  </sheetViews>
  <sheetFormatPr baseColWidth="10" defaultColWidth="8.83203125" defaultRowHeight="14"/>
  <cols>
    <col min="1" max="1" width="16" customWidth="1"/>
    <col min="2" max="2" width="34" customWidth="1"/>
    <col min="3" max="3" width="16" customWidth="1"/>
    <col min="4" max="4" width="24" customWidth="1"/>
    <col min="5" max="5" width="36" customWidth="1"/>
    <col min="6" max="6" width="44" customWidth="1"/>
    <col min="7" max="9" width="12" customWidth="1"/>
  </cols>
  <sheetData>
    <row r="1" spans="1:8" ht="18">
      <c r="A1" s="1" t="s">
        <v>0</v>
      </c>
    </row>
    <row r="2" spans="1:8">
      <c r="A2" s="2" t="s">
        <v>1</v>
      </c>
    </row>
    <row r="4" spans="1:8">
      <c r="A4" s="3" t="s">
        <v>2</v>
      </c>
    </row>
    <row r="5" spans="1:8">
      <c r="A5" s="4" t="s">
        <v>3</v>
      </c>
      <c r="B5" s="23" t="s">
        <v>4</v>
      </c>
      <c r="C5" s="24"/>
      <c r="D5" s="24"/>
      <c r="E5" s="24"/>
      <c r="F5" s="24"/>
      <c r="G5" s="24"/>
      <c r="H5" s="24"/>
    </row>
    <row r="6" spans="1:8">
      <c r="A6" s="4" t="s">
        <v>5</v>
      </c>
      <c r="B6" s="23" t="s">
        <v>6</v>
      </c>
      <c r="C6" s="24"/>
      <c r="D6" s="24"/>
      <c r="E6" s="24"/>
      <c r="F6" s="24"/>
      <c r="G6" s="24"/>
      <c r="H6" s="24"/>
    </row>
    <row r="7" spans="1:8">
      <c r="A7" s="4" t="s">
        <v>7</v>
      </c>
      <c r="B7" s="23" t="s">
        <v>8</v>
      </c>
      <c r="C7" s="24"/>
      <c r="D7" s="24"/>
      <c r="E7" s="24"/>
      <c r="F7" s="24"/>
      <c r="G7" s="24"/>
      <c r="H7" s="24"/>
    </row>
    <row r="8" spans="1:8">
      <c r="A8" s="4" t="s">
        <v>9</v>
      </c>
      <c r="B8" s="23" t="s">
        <v>10</v>
      </c>
      <c r="C8" s="24"/>
      <c r="D8" s="24"/>
      <c r="E8" s="24"/>
      <c r="F8" s="24"/>
      <c r="G8" s="24"/>
      <c r="H8" s="24"/>
    </row>
    <row r="9" spans="1:8">
      <c r="A9" s="4" t="s">
        <v>11</v>
      </c>
      <c r="B9" s="23" t="s">
        <v>12</v>
      </c>
      <c r="C9" s="24"/>
      <c r="D9" s="24"/>
      <c r="E9" s="24"/>
      <c r="F9" s="24"/>
      <c r="G9" s="24"/>
      <c r="H9" s="24"/>
    </row>
    <row r="10" spans="1:8">
      <c r="A10" s="4" t="s">
        <v>13</v>
      </c>
      <c r="B10" s="23" t="s">
        <v>14</v>
      </c>
      <c r="C10" s="24"/>
      <c r="D10" s="24"/>
      <c r="E10" s="24"/>
      <c r="F10" s="24"/>
      <c r="G10" s="24"/>
      <c r="H10" s="24"/>
    </row>
    <row r="11" spans="1:8">
      <c r="A11" s="4" t="s">
        <v>15</v>
      </c>
      <c r="B11" s="23" t="s">
        <v>16</v>
      </c>
      <c r="C11" s="24"/>
      <c r="D11" s="24"/>
      <c r="E11" s="24"/>
      <c r="F11" s="24"/>
      <c r="G11" s="24"/>
      <c r="H11" s="24"/>
    </row>
    <row r="13" spans="1:8">
      <c r="A13" s="3" t="s">
        <v>17</v>
      </c>
    </row>
    <row r="14" spans="1:8">
      <c r="A14" s="5" t="s">
        <v>18</v>
      </c>
      <c r="B14" s="5" t="s">
        <v>19</v>
      </c>
      <c r="C14" s="5" t="s">
        <v>20</v>
      </c>
      <c r="D14" s="5" t="s">
        <v>21</v>
      </c>
      <c r="E14" s="5" t="s">
        <v>22</v>
      </c>
      <c r="F14" s="5" t="s">
        <v>23</v>
      </c>
    </row>
    <row r="15" spans="1:8" ht="42">
      <c r="A15" s="6" t="s">
        <v>24</v>
      </c>
      <c r="B15" s="7" t="s">
        <v>25</v>
      </c>
      <c r="C15" s="7" t="s">
        <v>26</v>
      </c>
      <c r="D15" s="7" t="s">
        <v>27</v>
      </c>
      <c r="E15" s="6" t="s">
        <v>28</v>
      </c>
      <c r="F15" s="6" t="s">
        <v>29</v>
      </c>
    </row>
    <row r="16" spans="1:8" ht="28">
      <c r="A16" s="6" t="s">
        <v>30</v>
      </c>
      <c r="B16" s="7" t="s">
        <v>31</v>
      </c>
      <c r="C16" s="7" t="s">
        <v>32</v>
      </c>
      <c r="D16" s="7" t="s">
        <v>33</v>
      </c>
      <c r="E16" s="6" t="s">
        <v>34</v>
      </c>
      <c r="F16" s="6" t="s">
        <v>35</v>
      </c>
    </row>
    <row r="17" spans="1:9" ht="28">
      <c r="A17" s="6" t="s">
        <v>36</v>
      </c>
      <c r="B17" s="7" t="s">
        <v>37</v>
      </c>
      <c r="C17" s="7" t="s">
        <v>38</v>
      </c>
      <c r="D17" s="7" t="s">
        <v>39</v>
      </c>
      <c r="E17" s="6" t="s">
        <v>40</v>
      </c>
      <c r="F17" s="6" t="s">
        <v>41</v>
      </c>
    </row>
    <row r="18" spans="1:9">
      <c r="A18" s="6" t="s">
        <v>42</v>
      </c>
      <c r="B18" s="7" t="s">
        <v>43</v>
      </c>
      <c r="C18" s="7" t="s">
        <v>44</v>
      </c>
      <c r="D18" s="7" t="s">
        <v>45</v>
      </c>
      <c r="E18" s="6" t="s">
        <v>46</v>
      </c>
      <c r="F18" s="6" t="s">
        <v>47</v>
      </c>
    </row>
    <row r="19" spans="1:9">
      <c r="A19" s="6" t="s">
        <v>48</v>
      </c>
      <c r="B19" s="7" t="s">
        <v>49</v>
      </c>
      <c r="C19" s="7" t="s">
        <v>44</v>
      </c>
      <c r="D19" s="7" t="s">
        <v>45</v>
      </c>
      <c r="E19" s="6" t="s">
        <v>50</v>
      </c>
      <c r="F19" s="6" t="s">
        <v>47</v>
      </c>
    </row>
    <row r="20" spans="1:9" ht="28">
      <c r="A20" s="6" t="s">
        <v>51</v>
      </c>
      <c r="B20" s="7" t="s">
        <v>52</v>
      </c>
      <c r="C20" s="7" t="s">
        <v>26</v>
      </c>
      <c r="D20" s="7" t="s">
        <v>53</v>
      </c>
      <c r="E20" s="6" t="s">
        <v>54</v>
      </c>
      <c r="F20" s="6" t="s">
        <v>55</v>
      </c>
    </row>
    <row r="22" spans="1:9">
      <c r="A22" s="3" t="s">
        <v>56</v>
      </c>
    </row>
    <row r="23" spans="1:9">
      <c r="A23" s="25" t="s">
        <v>57</v>
      </c>
      <c r="B23" s="24"/>
      <c r="C23" s="24"/>
      <c r="D23" s="24"/>
      <c r="E23" s="24"/>
      <c r="F23" s="24"/>
      <c r="G23" s="24"/>
      <c r="H23" s="24"/>
      <c r="I23" s="24"/>
    </row>
    <row r="24" spans="1:9">
      <c r="A24" s="25" t="s">
        <v>58</v>
      </c>
      <c r="B24" s="24"/>
      <c r="C24" s="24"/>
      <c r="D24" s="24"/>
      <c r="E24" s="24"/>
      <c r="F24" s="24"/>
      <c r="G24" s="24"/>
      <c r="H24" s="24"/>
      <c r="I24" s="24"/>
    </row>
    <row r="25" spans="1:9">
      <c r="A25" s="25" t="s">
        <v>59</v>
      </c>
      <c r="B25" s="24"/>
      <c r="C25" s="24"/>
      <c r="D25" s="24"/>
      <c r="E25" s="24"/>
      <c r="F25" s="24"/>
      <c r="G25" s="24"/>
      <c r="H25" s="24"/>
      <c r="I25" s="24"/>
    </row>
    <row r="26" spans="1:9">
      <c r="A26" s="25" t="s">
        <v>60</v>
      </c>
      <c r="B26" s="24"/>
      <c r="C26" s="24"/>
      <c r="D26" s="24"/>
      <c r="E26" s="24"/>
      <c r="F26" s="24"/>
      <c r="G26" s="24"/>
      <c r="H26" s="24"/>
      <c r="I26" s="24"/>
    </row>
  </sheetData>
  <mergeCells count="11">
    <mergeCell ref="B5:H5"/>
    <mergeCell ref="A26:I26"/>
    <mergeCell ref="A24:I24"/>
    <mergeCell ref="B8:H8"/>
    <mergeCell ref="A25:I25"/>
    <mergeCell ref="B9:H9"/>
    <mergeCell ref="B6:H6"/>
    <mergeCell ref="A23:I23"/>
    <mergeCell ref="B7:H7"/>
    <mergeCell ref="B10:H10"/>
    <mergeCell ref="B11:H11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"/>
  <sheetViews>
    <sheetView tabSelected="1" workbookViewId="0">
      <pane ySplit="3" topLeftCell="A4" activePane="bottomLeft" state="frozen"/>
      <selection pane="bottomLeft" activeCell="D4" sqref="D4"/>
    </sheetView>
  </sheetViews>
  <sheetFormatPr baseColWidth="10" defaultColWidth="8.83203125" defaultRowHeight="14"/>
  <cols>
    <col min="1" max="1" width="26" customWidth="1"/>
    <col min="2" max="2" width="10" customWidth="1"/>
    <col min="3" max="5" width="14" customWidth="1"/>
    <col min="6" max="6" width="42" customWidth="1"/>
  </cols>
  <sheetData>
    <row r="1" spans="1:6" ht="18">
      <c r="A1" s="1" t="s">
        <v>61</v>
      </c>
    </row>
    <row r="2" spans="1:6">
      <c r="A2" s="2" t="s">
        <v>62</v>
      </c>
    </row>
    <row r="3" spans="1:6">
      <c r="A3" s="5" t="s">
        <v>63</v>
      </c>
      <c r="B3" s="5" t="s">
        <v>64</v>
      </c>
      <c r="C3" s="5" t="s">
        <v>65</v>
      </c>
      <c r="D3" s="5" t="s">
        <v>66</v>
      </c>
      <c r="E3" s="5" t="s">
        <v>67</v>
      </c>
      <c r="F3" s="5" t="s">
        <v>68</v>
      </c>
    </row>
    <row r="4" spans="1:6">
      <c r="A4" s="8" t="s">
        <v>69</v>
      </c>
      <c r="B4" s="9" t="s">
        <v>70</v>
      </c>
      <c r="C4" s="10">
        <v>15913.44</v>
      </c>
      <c r="D4" s="10">
        <v>78554.14</v>
      </c>
      <c r="E4" s="10">
        <v>169926.93</v>
      </c>
      <c r="F4" s="9" t="s">
        <v>71</v>
      </c>
    </row>
    <row r="5" spans="1:6">
      <c r="A5" s="8" t="s">
        <v>72</v>
      </c>
      <c r="B5" s="9" t="s">
        <v>70</v>
      </c>
      <c r="C5" s="10">
        <v>15753.65</v>
      </c>
      <c r="D5" s="10">
        <v>38767.279999999999</v>
      </c>
      <c r="E5" s="10">
        <v>167611.09</v>
      </c>
      <c r="F5" s="9" t="s">
        <v>30</v>
      </c>
    </row>
    <row r="6" spans="1:6">
      <c r="A6" s="8" t="s">
        <v>73</v>
      </c>
      <c r="B6" s="9" t="s">
        <v>70</v>
      </c>
      <c r="C6" s="10">
        <v>11938.09</v>
      </c>
      <c r="D6" s="10">
        <v>23054.37</v>
      </c>
      <c r="E6" s="10">
        <v>69762.559999999998</v>
      </c>
      <c r="F6" s="9" t="s">
        <v>30</v>
      </c>
    </row>
    <row r="7" spans="1:6">
      <c r="A7" s="8" t="s">
        <v>74</v>
      </c>
      <c r="B7" s="9" t="s">
        <v>70</v>
      </c>
      <c r="C7" s="10">
        <v>296.70999999999998</v>
      </c>
      <c r="D7" s="10">
        <v>10729.76</v>
      </c>
      <c r="E7" s="10">
        <v>86783.19</v>
      </c>
      <c r="F7" s="9" t="s">
        <v>30</v>
      </c>
    </row>
    <row r="8" spans="1:6">
      <c r="A8" s="8" t="s">
        <v>75</v>
      </c>
      <c r="B8" s="9" t="s">
        <v>70</v>
      </c>
      <c r="C8" s="10">
        <v>2692.34</v>
      </c>
      <c r="D8" s="10">
        <v>4453.82</v>
      </c>
      <c r="E8" s="10">
        <v>10373.67</v>
      </c>
      <c r="F8" s="9" t="s">
        <v>30</v>
      </c>
    </row>
    <row r="9" spans="1:6">
      <c r="A9" s="8" t="s">
        <v>76</v>
      </c>
      <c r="B9" s="9" t="s">
        <v>70</v>
      </c>
      <c r="C9" s="10">
        <v>826.51</v>
      </c>
      <c r="D9" s="10">
        <v>529.33000000000004</v>
      </c>
      <c r="E9" s="10">
        <v>691.67</v>
      </c>
      <c r="F9" s="9" t="s">
        <v>30</v>
      </c>
    </row>
    <row r="10" spans="1:6">
      <c r="A10" s="8" t="s">
        <v>77</v>
      </c>
      <c r="B10" s="9" t="s">
        <v>78</v>
      </c>
      <c r="C10" s="11">
        <v>0.44219999999999998</v>
      </c>
      <c r="D10" s="11">
        <v>0.56740000000000002</v>
      </c>
      <c r="E10" s="11">
        <v>0.60129999999999995</v>
      </c>
      <c r="F10" s="9" t="s">
        <v>30</v>
      </c>
    </row>
    <row r="11" spans="1:6">
      <c r="A11" s="8" t="s">
        <v>79</v>
      </c>
      <c r="B11" s="9" t="s">
        <v>78</v>
      </c>
      <c r="C11" s="11">
        <v>0.43709999999999999</v>
      </c>
      <c r="D11" s="11">
        <v>0.51649999999999996</v>
      </c>
      <c r="E11" s="11">
        <v>0.56720000000000004</v>
      </c>
      <c r="F11" s="9" t="s">
        <v>30</v>
      </c>
    </row>
    <row r="12" spans="1:6">
      <c r="A12" s="8" t="s">
        <v>80</v>
      </c>
      <c r="B12" s="9" t="s">
        <v>78</v>
      </c>
      <c r="C12" s="11">
        <v>0.87670000000000003</v>
      </c>
      <c r="D12" s="11">
        <v>0.69259999999999999</v>
      </c>
      <c r="E12" s="11">
        <v>0.63180000000000003</v>
      </c>
      <c r="F12" s="9" t="s">
        <v>30</v>
      </c>
    </row>
    <row r="13" spans="1:6">
      <c r="A13" s="8" t="s">
        <v>81</v>
      </c>
      <c r="B13" s="9" t="s">
        <v>78</v>
      </c>
      <c r="C13" s="11">
        <v>0.48759999999999998</v>
      </c>
      <c r="D13" s="11">
        <v>0.56940000000000002</v>
      </c>
      <c r="E13" s="11">
        <v>0.59360000000000002</v>
      </c>
      <c r="F13" s="9" t="s">
        <v>30</v>
      </c>
    </row>
    <row r="14" spans="1:6">
      <c r="A14" s="8" t="s">
        <v>82</v>
      </c>
      <c r="B14" s="9" t="s">
        <v>78</v>
      </c>
      <c r="C14" s="11">
        <v>0.21110000000000001</v>
      </c>
      <c r="D14" s="11">
        <v>0.23230000000000001</v>
      </c>
      <c r="E14" s="11">
        <v>0.33529999999999999</v>
      </c>
      <c r="F14" s="9" t="s">
        <v>30</v>
      </c>
    </row>
    <row r="15" spans="1:6">
      <c r="A15" s="8" t="s">
        <v>83</v>
      </c>
      <c r="B15" s="9" t="s">
        <v>78</v>
      </c>
      <c r="C15" s="11">
        <v>0.44750000000000001</v>
      </c>
      <c r="D15" s="11">
        <v>0.57220000000000004</v>
      </c>
      <c r="E15" s="11">
        <v>0.60440000000000005</v>
      </c>
      <c r="F15" s="9" t="s">
        <v>84</v>
      </c>
    </row>
    <row r="16" spans="1:6">
      <c r="A16" s="8" t="s">
        <v>85</v>
      </c>
      <c r="B16" s="9" t="s">
        <v>70</v>
      </c>
      <c r="C16" s="10">
        <v>6965.75</v>
      </c>
      <c r="D16" s="10">
        <v>21996.62</v>
      </c>
      <c r="E16" s="10">
        <v>100785.07</v>
      </c>
      <c r="F16" s="9" t="s">
        <v>30</v>
      </c>
    </row>
    <row r="17" spans="1:6">
      <c r="A17" s="8" t="s">
        <v>86</v>
      </c>
      <c r="B17" s="9" t="s">
        <v>70</v>
      </c>
      <c r="C17" s="10">
        <v>5218.21</v>
      </c>
      <c r="D17" s="10">
        <v>11906.88</v>
      </c>
      <c r="E17" s="10">
        <v>39569.160000000003</v>
      </c>
      <c r="F17" s="9" t="s">
        <v>30</v>
      </c>
    </row>
    <row r="18" spans="1:6">
      <c r="A18" s="8" t="s">
        <v>87</v>
      </c>
      <c r="B18" s="9" t="s">
        <v>70</v>
      </c>
      <c r="C18" s="10">
        <v>260.12</v>
      </c>
      <c r="D18" s="10">
        <v>7430.99</v>
      </c>
      <c r="E18" s="10">
        <v>54826.61</v>
      </c>
      <c r="F18" s="9" t="s">
        <v>30</v>
      </c>
    </row>
    <row r="19" spans="1:6">
      <c r="A19" s="8" t="s">
        <v>88</v>
      </c>
      <c r="B19" s="9" t="s">
        <v>70</v>
      </c>
      <c r="C19" s="10">
        <v>1312.9</v>
      </c>
      <c r="D19" s="10">
        <v>2535.79</v>
      </c>
      <c r="E19" s="10">
        <v>6157.41</v>
      </c>
      <c r="F19" s="9" t="s">
        <v>30</v>
      </c>
    </row>
    <row r="20" spans="1:6">
      <c r="A20" s="8" t="s">
        <v>89</v>
      </c>
      <c r="B20" s="9" t="s">
        <v>70</v>
      </c>
      <c r="C20" s="10">
        <v>174.52</v>
      </c>
      <c r="D20" s="10">
        <v>122.96</v>
      </c>
      <c r="E20" s="10">
        <v>231.89</v>
      </c>
      <c r="F20" s="9" t="s">
        <v>30</v>
      </c>
    </row>
    <row r="21" spans="1:6">
      <c r="A21" s="8" t="s">
        <v>90</v>
      </c>
      <c r="B21" s="9" t="s">
        <v>70</v>
      </c>
      <c r="C21" s="10">
        <v>-1114.51</v>
      </c>
      <c r="D21" s="10">
        <v>9547.4699999999993</v>
      </c>
      <c r="E21" s="10">
        <v>27821.05</v>
      </c>
      <c r="F21" s="9" t="s">
        <v>71</v>
      </c>
    </row>
    <row r="22" spans="1:6">
      <c r="A22" s="8" t="s">
        <v>91</v>
      </c>
      <c r="B22" s="9" t="s">
        <v>70</v>
      </c>
      <c r="C22" s="10">
        <v>-1801.91</v>
      </c>
      <c r="D22" s="10">
        <v>7847.65</v>
      </c>
      <c r="E22" s="10">
        <v>59075.28</v>
      </c>
      <c r="F22" s="9" t="s">
        <v>71</v>
      </c>
    </row>
    <row r="23" spans="1:6">
      <c r="A23" s="8" t="s">
        <v>92</v>
      </c>
      <c r="B23" s="9" t="s">
        <v>70</v>
      </c>
      <c r="C23" s="10">
        <v>0</v>
      </c>
      <c r="D23" s="10">
        <v>0</v>
      </c>
      <c r="E23" s="10">
        <v>34906.550000000003</v>
      </c>
      <c r="F23" s="9" t="s">
        <v>93</v>
      </c>
    </row>
    <row r="24" spans="1:6">
      <c r="A24" s="8" t="s">
        <v>94</v>
      </c>
      <c r="B24" s="9" t="s">
        <v>70</v>
      </c>
      <c r="C24" s="10">
        <v>3771.83</v>
      </c>
      <c r="D24" s="10">
        <v>5915.85</v>
      </c>
      <c r="E24" s="10">
        <v>14120.32</v>
      </c>
      <c r="F24" s="9" t="s">
        <v>30</v>
      </c>
    </row>
    <row r="25" spans="1:6">
      <c r="A25" s="8" t="s">
        <v>95</v>
      </c>
      <c r="B25" s="9" t="s">
        <v>70</v>
      </c>
      <c r="C25" s="10">
        <v>1332.8</v>
      </c>
      <c r="D25" s="10">
        <v>2500.52</v>
      </c>
      <c r="E25" s="10">
        <v>39959.61</v>
      </c>
      <c r="F25" s="9" t="s">
        <v>30</v>
      </c>
    </row>
    <row r="26" spans="1:6">
      <c r="A26" s="8" t="s">
        <v>96</v>
      </c>
      <c r="B26" s="9" t="s">
        <v>70</v>
      </c>
      <c r="C26" s="10">
        <v>4995.18</v>
      </c>
      <c r="D26" s="10">
        <v>7001.7</v>
      </c>
      <c r="E26" s="10">
        <v>14496.56</v>
      </c>
      <c r="F26" s="9" t="s">
        <v>71</v>
      </c>
    </row>
    <row r="27" spans="1:6">
      <c r="A27" s="8" t="s">
        <v>97</v>
      </c>
      <c r="B27" s="9" t="s">
        <v>70</v>
      </c>
      <c r="C27" s="10">
        <v>-732.47</v>
      </c>
      <c r="D27" s="10">
        <v>-1718.64</v>
      </c>
      <c r="E27" s="10">
        <v>98.61</v>
      </c>
      <c r="F27" s="9" t="s">
        <v>30</v>
      </c>
    </row>
    <row r="28" spans="1:6">
      <c r="A28" s="8" t="s">
        <v>98</v>
      </c>
      <c r="B28" s="9" t="s">
        <v>70</v>
      </c>
      <c r="C28" s="10">
        <v>494.25</v>
      </c>
      <c r="D28" s="10">
        <v>19239.13</v>
      </c>
      <c r="E28" s="10">
        <v>66998.179999999993</v>
      </c>
      <c r="F28" s="9" t="s">
        <v>30</v>
      </c>
    </row>
    <row r="29" spans="1:6">
      <c r="A29" s="8" t="s">
        <v>99</v>
      </c>
      <c r="B29" s="9" t="s">
        <v>70</v>
      </c>
      <c r="C29" s="10">
        <v>39127.15</v>
      </c>
      <c r="D29" s="10">
        <v>152786.94</v>
      </c>
      <c r="E29" s="10">
        <v>320853.83</v>
      </c>
      <c r="F29" s="9" t="s">
        <v>30</v>
      </c>
    </row>
    <row r="30" spans="1:6">
      <c r="A30" s="8" t="s">
        <v>100</v>
      </c>
      <c r="B30" s="9" t="s">
        <v>70</v>
      </c>
      <c r="C30" s="10">
        <v>29904.49</v>
      </c>
      <c r="D30" s="10">
        <v>128054.9</v>
      </c>
      <c r="E30" s="10">
        <v>260465.85</v>
      </c>
      <c r="F30" s="9" t="s">
        <v>30</v>
      </c>
    </row>
    <row r="31" spans="1:6">
      <c r="A31" s="8" t="s">
        <v>101</v>
      </c>
      <c r="B31" s="9" t="s">
        <v>78</v>
      </c>
      <c r="C31" s="11">
        <v>0.23569999999999999</v>
      </c>
      <c r="D31" s="11">
        <v>0.16189999999999999</v>
      </c>
      <c r="E31" s="11">
        <v>0.18820000000000001</v>
      </c>
      <c r="F31" s="9" t="s">
        <v>30</v>
      </c>
    </row>
    <row r="32" spans="1:6">
      <c r="A32" s="8" t="s">
        <v>102</v>
      </c>
      <c r="B32" s="9" t="s">
        <v>78</v>
      </c>
      <c r="C32" s="11">
        <v>-3.6600000000000001E-2</v>
      </c>
      <c r="D32" s="11">
        <v>0.1046</v>
      </c>
      <c r="E32" s="11">
        <v>0.13519999999999999</v>
      </c>
      <c r="F32" s="9" t="s">
        <v>30</v>
      </c>
    </row>
    <row r="33" spans="1:6">
      <c r="A33" s="8" t="s">
        <v>103</v>
      </c>
      <c r="B33" s="9" t="s">
        <v>78</v>
      </c>
      <c r="C33" s="11">
        <v>-5.9200000000000003E-2</v>
      </c>
      <c r="D33" s="11">
        <v>8.5999999999999993E-2</v>
      </c>
      <c r="E33" s="11">
        <v>0.28699999999999998</v>
      </c>
      <c r="F33" s="9" t="s">
        <v>30</v>
      </c>
    </row>
    <row r="34" spans="1:6">
      <c r="A34" s="8" t="s">
        <v>104</v>
      </c>
      <c r="B34" s="9" t="s">
        <v>105</v>
      </c>
      <c r="C34" s="12"/>
      <c r="D34" s="12"/>
      <c r="E34" s="13">
        <v>0.76</v>
      </c>
      <c r="F34" s="9" t="s">
        <v>30</v>
      </c>
    </row>
    <row r="35" spans="1:6">
      <c r="A35" s="8" t="s">
        <v>106</v>
      </c>
      <c r="B35" s="9" t="s">
        <v>107</v>
      </c>
      <c r="C35" s="14">
        <v>3121</v>
      </c>
      <c r="D35" s="14">
        <v>7136</v>
      </c>
      <c r="E35" s="14">
        <v>23037</v>
      </c>
      <c r="F35" s="9" t="s">
        <v>30</v>
      </c>
    </row>
    <row r="36" spans="1:6">
      <c r="A36" s="8" t="s">
        <v>108</v>
      </c>
      <c r="B36" s="9" t="s">
        <v>109</v>
      </c>
      <c r="C36" s="13">
        <v>3.83</v>
      </c>
      <c r="D36" s="13">
        <v>3.23</v>
      </c>
      <c r="E36" s="13">
        <v>3.03</v>
      </c>
      <c r="F36" s="9" t="s">
        <v>30</v>
      </c>
    </row>
    <row r="37" spans="1:6">
      <c r="A37" s="8" t="s">
        <v>110</v>
      </c>
      <c r="B37" s="9" t="s">
        <v>107</v>
      </c>
      <c r="C37" s="14">
        <v>5</v>
      </c>
      <c r="D37" s="14">
        <v>412</v>
      </c>
      <c r="E37" s="14">
        <v>5215</v>
      </c>
      <c r="F37" s="9" t="s">
        <v>30</v>
      </c>
    </row>
    <row r="38" spans="1:6">
      <c r="A38" s="8" t="s">
        <v>111</v>
      </c>
      <c r="B38" s="9" t="s">
        <v>109</v>
      </c>
      <c r="C38" s="13">
        <v>59.34</v>
      </c>
      <c r="D38" s="13">
        <v>26.04</v>
      </c>
      <c r="E38" s="13">
        <v>16.64</v>
      </c>
      <c r="F38" s="9" t="s">
        <v>30</v>
      </c>
    </row>
    <row r="39" spans="1:6">
      <c r="A39" s="8" t="s">
        <v>112</v>
      </c>
      <c r="B39" s="9" t="s">
        <v>107</v>
      </c>
      <c r="C39" s="12"/>
      <c r="D39" s="12"/>
      <c r="E39" s="14">
        <v>5511</v>
      </c>
      <c r="F39" s="9" t="s">
        <v>113</v>
      </c>
    </row>
    <row r="40" spans="1:6">
      <c r="A40" s="8" t="s">
        <v>114</v>
      </c>
      <c r="B40" s="9" t="s">
        <v>115</v>
      </c>
      <c r="C40" s="12"/>
      <c r="D40" s="12"/>
      <c r="E40" s="14">
        <v>516</v>
      </c>
      <c r="F40" s="9" t="s">
        <v>30</v>
      </c>
    </row>
    <row r="41" spans="1:6">
      <c r="A41" s="8" t="s">
        <v>116</v>
      </c>
      <c r="B41" s="9" t="s">
        <v>115</v>
      </c>
      <c r="C41" s="12"/>
      <c r="D41" s="12"/>
      <c r="E41" s="14">
        <v>184</v>
      </c>
      <c r="F41" s="9" t="s">
        <v>117</v>
      </c>
    </row>
    <row r="42" spans="1:6">
      <c r="A42" s="8" t="s">
        <v>118</v>
      </c>
      <c r="B42" s="9" t="s">
        <v>78</v>
      </c>
      <c r="C42" s="11">
        <v>0.18390000000000001</v>
      </c>
      <c r="D42" s="11">
        <v>0.19539999999999999</v>
      </c>
      <c r="E42" s="11">
        <v>0.13300000000000001</v>
      </c>
      <c r="F42" s="9" t="s">
        <v>119</v>
      </c>
    </row>
    <row r="43" spans="1:6">
      <c r="A43" s="8" t="s">
        <v>120</v>
      </c>
      <c r="B43" s="9" t="s">
        <v>78</v>
      </c>
      <c r="C43" s="11">
        <v>0.12690000000000001</v>
      </c>
      <c r="D43" s="11">
        <v>0.1245</v>
      </c>
      <c r="E43" s="11">
        <v>0.1208</v>
      </c>
      <c r="F43" s="9" t="s">
        <v>30</v>
      </c>
    </row>
    <row r="44" spans="1:6">
      <c r="A44" s="8" t="s">
        <v>121</v>
      </c>
      <c r="B44" s="9" t="s">
        <v>78</v>
      </c>
      <c r="C44" s="11">
        <v>0.13139999999999999</v>
      </c>
      <c r="D44" s="11">
        <v>0.10390000000000001</v>
      </c>
      <c r="E44" s="11">
        <v>0.1072</v>
      </c>
      <c r="F44" s="9" t="s">
        <v>30</v>
      </c>
    </row>
  </sheetData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4"/>
  <cols>
    <col min="1" max="1" width="28" customWidth="1"/>
    <col min="2" max="4" width="14" customWidth="1"/>
    <col min="5" max="5" width="16" customWidth="1"/>
    <col min="6" max="6" width="18" customWidth="1"/>
    <col min="7" max="7" width="30" customWidth="1"/>
    <col min="8" max="8" width="12" customWidth="1"/>
  </cols>
  <sheetData>
    <row r="1" spans="1:8" ht="18">
      <c r="A1" s="1" t="s">
        <v>122</v>
      </c>
    </row>
    <row r="3" spans="1:8">
      <c r="A3" s="5" t="s">
        <v>63</v>
      </c>
      <c r="B3" s="5" t="s">
        <v>64</v>
      </c>
      <c r="C3" s="5" t="s">
        <v>123</v>
      </c>
      <c r="D3" s="5" t="s">
        <v>124</v>
      </c>
      <c r="E3" s="5" t="s">
        <v>125</v>
      </c>
      <c r="F3" s="5" t="s">
        <v>126</v>
      </c>
      <c r="G3" s="5" t="s">
        <v>127</v>
      </c>
      <c r="H3" s="5" t="s">
        <v>128</v>
      </c>
    </row>
    <row r="4" spans="1:8">
      <c r="A4" s="8" t="s">
        <v>69</v>
      </c>
      <c r="B4" s="9" t="s">
        <v>70</v>
      </c>
      <c r="C4" s="10">
        <v>25095.87</v>
      </c>
      <c r="D4" s="10">
        <v>77571.92</v>
      </c>
      <c r="E4" s="10">
        <v>42284.05</v>
      </c>
      <c r="F4" s="10">
        <v>115224.56</v>
      </c>
      <c r="G4" s="9" t="s">
        <v>129</v>
      </c>
      <c r="H4" s="9" t="s">
        <v>71</v>
      </c>
    </row>
    <row r="5" spans="1:8">
      <c r="A5" s="8" t="s">
        <v>130</v>
      </c>
      <c r="B5" s="9" t="s">
        <v>70</v>
      </c>
      <c r="C5" s="12"/>
      <c r="D5" s="10">
        <v>30907.39</v>
      </c>
      <c r="E5" s="12"/>
      <c r="F5" s="10">
        <v>50688.51</v>
      </c>
      <c r="G5" s="9" t="s">
        <v>131</v>
      </c>
      <c r="H5" s="9" t="s">
        <v>132</v>
      </c>
    </row>
    <row r="6" spans="1:8">
      <c r="A6" s="8" t="s">
        <v>90</v>
      </c>
      <c r="B6" s="9" t="s">
        <v>70</v>
      </c>
      <c r="C6" s="10">
        <v>9560.25</v>
      </c>
      <c r="D6" s="10">
        <v>-3202.45</v>
      </c>
      <c r="E6" s="10">
        <v>5001.38</v>
      </c>
      <c r="F6" s="10">
        <v>27399.99</v>
      </c>
      <c r="G6" s="9" t="s">
        <v>133</v>
      </c>
      <c r="H6" s="9" t="s">
        <v>71</v>
      </c>
    </row>
    <row r="7" spans="1:8">
      <c r="A7" s="8" t="s">
        <v>91</v>
      </c>
      <c r="B7" s="9" t="s">
        <v>70</v>
      </c>
      <c r="C7" s="10">
        <v>8483.65</v>
      </c>
      <c r="D7" s="10">
        <v>30243.35</v>
      </c>
      <c r="E7" s="10">
        <v>4025.36</v>
      </c>
      <c r="F7" s="10">
        <v>24393.03</v>
      </c>
      <c r="G7" s="9" t="s">
        <v>133</v>
      </c>
      <c r="H7" s="9" t="s">
        <v>71</v>
      </c>
    </row>
    <row r="8" spans="1:8">
      <c r="A8" s="8" t="s">
        <v>98</v>
      </c>
      <c r="B8" s="9" t="s">
        <v>70</v>
      </c>
      <c r="C8" s="12"/>
      <c r="D8" s="10">
        <v>34319.360000000001</v>
      </c>
      <c r="E8" s="10">
        <v>3439.96</v>
      </c>
      <c r="F8" s="10">
        <v>23154.53</v>
      </c>
      <c r="G8" s="9" t="s">
        <v>133</v>
      </c>
      <c r="H8" s="9" t="s">
        <v>71</v>
      </c>
    </row>
    <row r="9" spans="1:8">
      <c r="A9" s="8" t="s">
        <v>96</v>
      </c>
      <c r="B9" s="9" t="s">
        <v>70</v>
      </c>
      <c r="C9" s="12"/>
      <c r="D9" s="10">
        <v>5386.9</v>
      </c>
      <c r="E9" s="12"/>
      <c r="F9" s="10">
        <v>13590.65</v>
      </c>
      <c r="G9" s="9" t="s">
        <v>131</v>
      </c>
      <c r="H9" s="9" t="s">
        <v>132</v>
      </c>
    </row>
    <row r="10" spans="1:8">
      <c r="A10" s="8" t="s">
        <v>94</v>
      </c>
      <c r="B10" s="9" t="s">
        <v>70</v>
      </c>
      <c r="C10" s="12"/>
      <c r="D10" s="10">
        <v>4685.1099999999997</v>
      </c>
      <c r="E10" s="12"/>
      <c r="F10" s="10">
        <v>16407.27</v>
      </c>
      <c r="G10" s="9" t="s">
        <v>131</v>
      </c>
      <c r="H10" s="9" t="s">
        <v>132</v>
      </c>
    </row>
    <row r="11" spans="1:8">
      <c r="A11" s="8" t="s">
        <v>95</v>
      </c>
      <c r="B11" s="9" t="s">
        <v>70</v>
      </c>
      <c r="C11" s="12"/>
      <c r="D11" s="10">
        <v>36399.379999999997</v>
      </c>
      <c r="E11" s="12"/>
      <c r="F11" s="10">
        <v>4208.4799999999996</v>
      </c>
      <c r="G11" s="9" t="s">
        <v>134</v>
      </c>
      <c r="H11" s="9" t="s">
        <v>132</v>
      </c>
    </row>
    <row r="12" spans="1:8">
      <c r="A12" s="8" t="s">
        <v>99</v>
      </c>
      <c r="B12" s="9" t="s">
        <v>70</v>
      </c>
      <c r="C12" s="12"/>
      <c r="D12" s="12"/>
      <c r="E12" s="10">
        <v>345907.18</v>
      </c>
      <c r="F12" s="10">
        <v>384546.94</v>
      </c>
      <c r="G12" s="9" t="s">
        <v>133</v>
      </c>
      <c r="H12" s="9" t="s">
        <v>71</v>
      </c>
    </row>
    <row r="13" spans="1:8">
      <c r="A13" s="8" t="s">
        <v>135</v>
      </c>
      <c r="B13" s="9" t="s">
        <v>70</v>
      </c>
      <c r="C13" s="12"/>
      <c r="D13" s="12"/>
      <c r="E13" s="10">
        <v>265533.55</v>
      </c>
      <c r="F13" s="10">
        <v>287998.48</v>
      </c>
      <c r="G13" s="9" t="s">
        <v>133</v>
      </c>
      <c r="H13" s="9" t="s">
        <v>71</v>
      </c>
    </row>
    <row r="14" spans="1:8">
      <c r="A14" s="8" t="s">
        <v>104</v>
      </c>
      <c r="B14" s="9" t="s">
        <v>105</v>
      </c>
      <c r="C14" s="12"/>
      <c r="D14" s="13">
        <v>-0.09</v>
      </c>
      <c r="E14" s="12"/>
      <c r="F14" s="13">
        <v>0.75</v>
      </c>
      <c r="G14" s="9" t="s">
        <v>131</v>
      </c>
      <c r="H14" s="9" t="s">
        <v>24</v>
      </c>
    </row>
    <row r="16" spans="1:8">
      <c r="A16" s="27" t="s">
        <v>136</v>
      </c>
      <c r="B16" s="24"/>
      <c r="C16" s="24"/>
      <c r="D16" s="24"/>
      <c r="E16" s="24"/>
      <c r="F16" s="24"/>
      <c r="G16" s="24"/>
      <c r="H16" s="24"/>
    </row>
    <row r="17" spans="1:8">
      <c r="A17" s="5" t="s">
        <v>63</v>
      </c>
      <c r="B17" s="5" t="s">
        <v>64</v>
      </c>
      <c r="C17" s="5" t="s">
        <v>137</v>
      </c>
      <c r="D17" s="5" t="s">
        <v>138</v>
      </c>
      <c r="E17" s="5" t="s">
        <v>139</v>
      </c>
      <c r="F17" s="5" t="s">
        <v>140</v>
      </c>
      <c r="G17" s="5" t="s">
        <v>141</v>
      </c>
      <c r="H17" s="5" t="s">
        <v>128</v>
      </c>
    </row>
    <row r="18" spans="1:8">
      <c r="A18" s="8" t="s">
        <v>69</v>
      </c>
      <c r="B18" s="2" t="s">
        <v>70</v>
      </c>
      <c r="C18" s="15">
        <v>105200</v>
      </c>
      <c r="D18" s="15">
        <v>112800</v>
      </c>
      <c r="E18" s="15">
        <v>77571.92</v>
      </c>
      <c r="F18" s="2" t="s">
        <v>142</v>
      </c>
      <c r="G18" s="2" t="s">
        <v>143</v>
      </c>
      <c r="H18" s="2" t="s">
        <v>30</v>
      </c>
    </row>
    <row r="19" spans="1:8">
      <c r="A19" s="8" t="s">
        <v>90</v>
      </c>
      <c r="B19" s="2" t="s">
        <v>70</v>
      </c>
      <c r="C19" s="15">
        <v>25800</v>
      </c>
      <c r="D19" s="15">
        <v>30600</v>
      </c>
      <c r="E19" s="15">
        <v>-3202.45</v>
      </c>
      <c r="F19" s="2" t="s">
        <v>144</v>
      </c>
      <c r="G19" s="2" t="s">
        <v>143</v>
      </c>
      <c r="H19" s="2" t="s">
        <v>30</v>
      </c>
    </row>
    <row r="20" spans="1:8">
      <c r="A20" s="8" t="s">
        <v>91</v>
      </c>
      <c r="B20" s="2" t="s">
        <v>70</v>
      </c>
      <c r="C20" s="15">
        <v>23600</v>
      </c>
      <c r="D20" s="15">
        <v>28300</v>
      </c>
      <c r="E20" s="15">
        <v>30243.35</v>
      </c>
      <c r="F20" s="2" t="s">
        <v>145</v>
      </c>
      <c r="G20" s="2" t="s">
        <v>143</v>
      </c>
      <c r="H20" s="2" t="s">
        <v>30</v>
      </c>
    </row>
    <row r="22" spans="1:8">
      <c r="A22" s="3" t="s">
        <v>146</v>
      </c>
    </row>
    <row r="23" spans="1:8">
      <c r="A23" s="8" t="s">
        <v>147</v>
      </c>
      <c r="B23" s="10">
        <v>150.80000000000001</v>
      </c>
      <c r="C23" s="2" t="s">
        <v>148</v>
      </c>
    </row>
    <row r="24" spans="1:8">
      <c r="A24" s="8" t="s">
        <v>149</v>
      </c>
      <c r="B24" s="10">
        <v>40446.434000000001</v>
      </c>
      <c r="C24" s="2" t="s">
        <v>150</v>
      </c>
    </row>
    <row r="25" spans="1:8">
      <c r="A25" s="8" t="s">
        <v>151</v>
      </c>
      <c r="B25" s="10">
        <v>609932.22</v>
      </c>
      <c r="C25" s="2" t="s">
        <v>70</v>
      </c>
    </row>
    <row r="26" spans="1:8">
      <c r="A26" s="8" t="s">
        <v>152</v>
      </c>
      <c r="B26" s="10">
        <v>591714.92000000004</v>
      </c>
      <c r="C26" s="2" t="s">
        <v>70</v>
      </c>
    </row>
    <row r="27" spans="1:8">
      <c r="A27" s="8" t="s">
        <v>153</v>
      </c>
      <c r="B27" s="10">
        <v>18217.310000000001</v>
      </c>
      <c r="C27" s="2" t="s">
        <v>70</v>
      </c>
    </row>
    <row r="28" spans="1:8">
      <c r="A28" s="8" t="s">
        <v>154</v>
      </c>
      <c r="B28" s="10">
        <v>219.23</v>
      </c>
      <c r="C28" s="2" t="s">
        <v>155</v>
      </c>
    </row>
    <row r="29" spans="1:8">
      <c r="A29" s="8" t="s">
        <v>156</v>
      </c>
      <c r="B29" s="13">
        <v>7.16</v>
      </c>
      <c r="C29" s="2" t="s">
        <v>155</v>
      </c>
    </row>
    <row r="30" spans="1:8">
      <c r="A30" s="8" t="s">
        <v>157</v>
      </c>
      <c r="B30" s="13">
        <v>0.69</v>
      </c>
      <c r="C30" s="2" t="s">
        <v>105</v>
      </c>
    </row>
    <row r="31" spans="1:8">
      <c r="A31" s="8" t="s">
        <v>158</v>
      </c>
      <c r="B31" s="13">
        <v>21.07</v>
      </c>
      <c r="C31" s="2" t="s">
        <v>105</v>
      </c>
    </row>
    <row r="32" spans="1:8">
      <c r="A32" s="8" t="s">
        <v>159</v>
      </c>
      <c r="B32" s="13">
        <v>38.56</v>
      </c>
      <c r="C32" s="2" t="s">
        <v>155</v>
      </c>
    </row>
    <row r="33" spans="1:6">
      <c r="A33" s="8" t="s">
        <v>160</v>
      </c>
      <c r="B33" s="10">
        <v>420171.12</v>
      </c>
      <c r="C33" s="2" t="s">
        <v>70</v>
      </c>
    </row>
    <row r="34" spans="1:6">
      <c r="A34" s="8" t="s">
        <v>161</v>
      </c>
      <c r="B34" s="10">
        <v>1270000</v>
      </c>
      <c r="C34" s="2" t="s">
        <v>70</v>
      </c>
    </row>
    <row r="36" spans="1:6">
      <c r="A36" s="8" t="s">
        <v>162</v>
      </c>
      <c r="B36" s="26" t="s">
        <v>163</v>
      </c>
      <c r="C36" s="24"/>
      <c r="D36" s="24"/>
      <c r="E36" s="24"/>
      <c r="F36" s="24"/>
    </row>
    <row r="37" spans="1:6">
      <c r="A37" s="8" t="s">
        <v>164</v>
      </c>
      <c r="B37" s="26" t="s">
        <v>165</v>
      </c>
      <c r="C37" s="24"/>
      <c r="D37" s="24"/>
      <c r="E37" s="24"/>
      <c r="F37" s="24"/>
    </row>
    <row r="38" spans="1:6">
      <c r="A38" s="8" t="s">
        <v>166</v>
      </c>
      <c r="B38" s="26" t="s">
        <v>167</v>
      </c>
      <c r="C38" s="24"/>
      <c r="D38" s="24"/>
      <c r="E38" s="24"/>
      <c r="F38" s="24"/>
    </row>
    <row r="39" spans="1:6">
      <c r="A39" s="8" t="s">
        <v>168</v>
      </c>
      <c r="B39" s="26" t="s">
        <v>169</v>
      </c>
      <c r="C39" s="24"/>
      <c r="D39" s="24"/>
      <c r="E39" s="24"/>
      <c r="F39" s="24"/>
    </row>
  </sheetData>
  <mergeCells count="5">
    <mergeCell ref="B39:F39"/>
    <mergeCell ref="B38:F38"/>
    <mergeCell ref="A16:H16"/>
    <mergeCell ref="B37:F37"/>
    <mergeCell ref="B36:F36"/>
  </mergeCells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9"/>
  <sheetViews>
    <sheetView workbookViewId="0"/>
  </sheetViews>
  <sheetFormatPr baseColWidth="10" defaultColWidth="8.83203125" defaultRowHeight="14"/>
  <cols>
    <col min="1" max="1" width="32" customWidth="1"/>
    <col min="2" max="4" width="14" customWidth="1"/>
    <col min="5" max="5" width="42" customWidth="1"/>
  </cols>
  <sheetData>
    <row r="1" spans="1:5" ht="18">
      <c r="A1" s="1" t="s">
        <v>170</v>
      </c>
    </row>
    <row r="3" spans="1:5">
      <c r="A3" s="5" t="s">
        <v>63</v>
      </c>
      <c r="B3" s="5" t="s">
        <v>66</v>
      </c>
      <c r="C3" s="5" t="s">
        <v>67</v>
      </c>
      <c r="D3" s="5" t="s">
        <v>126</v>
      </c>
      <c r="E3" s="5" t="s">
        <v>171</v>
      </c>
    </row>
    <row r="4" spans="1:5">
      <c r="A4" s="8" t="s">
        <v>172</v>
      </c>
      <c r="B4" s="16">
        <f>'原始数据-年度'!D4/'原始数据-年度'!C4-1</f>
        <v>3.936339345861108</v>
      </c>
      <c r="C4" s="16">
        <f>'原始数据-年度'!E4/'原始数据-年度'!D4-1</f>
        <v>1.1631823605986904</v>
      </c>
      <c r="D4" s="16">
        <f>'原始数据-期间与IPO'!F4/'原始数据-期间与IPO'!D4-1</f>
        <v>0.48539007414023017</v>
      </c>
      <c r="E4" s="2" t="s">
        <v>173</v>
      </c>
    </row>
    <row r="5" spans="1:5">
      <c r="A5" s="8" t="s">
        <v>174</v>
      </c>
      <c r="B5" s="16" t="str">
        <f>IF('原始数据-年度'!C22&lt;0,"基期为负",'原始数据-年度'!D22/'原始数据-年度'!C22-1)</f>
        <v>基期为负</v>
      </c>
      <c r="C5" s="16">
        <f>IF('原始数据-年度'!D22&lt;0,"基期为负",'原始数据-年度'!E22/'原始数据-年度'!D22-1)</f>
        <v>6.5277669111135186</v>
      </c>
      <c r="D5" s="16">
        <f>IF('原始数据-期间与IPO'!D7&lt;0,"基期为负",'原始数据-期间与IPO'!F7/'原始数据-期间与IPO'!D7-1)</f>
        <v>-0.19344153342800985</v>
      </c>
      <c r="E5" s="2" t="s">
        <v>175</v>
      </c>
    </row>
    <row r="6" spans="1:5">
      <c r="A6" s="8" t="s">
        <v>176</v>
      </c>
      <c r="B6" s="16" t="str">
        <f>IF('原始数据-年度'!C21&lt;0,"基期为负",'原始数据-年度'!D21/'原始数据-年度'!C21-1)</f>
        <v>基期为负</v>
      </c>
      <c r="C6" s="16">
        <f>IF('原始数据-年度'!D21&lt;0,"基期为负",'原始数据-年度'!E21/'原始数据-年度'!D21-1)</f>
        <v>1.9139709263291742</v>
      </c>
      <c r="D6" s="16" t="str">
        <f>IF('原始数据-期间与IPO'!D6&lt;0,"基期为负",'原始数据-期间与IPO'!F6/'原始数据-期间与IPO'!D6-1)</f>
        <v>基期为负</v>
      </c>
      <c r="E6" s="2" t="s">
        <v>177</v>
      </c>
    </row>
    <row r="7" spans="1:5">
      <c r="A7" s="8" t="s">
        <v>178</v>
      </c>
      <c r="B7" s="16">
        <f>'原始数据-年度'!D7/'原始数据-年度'!D5</f>
        <v>0.27677360908477461</v>
      </c>
      <c r="C7" s="16">
        <f>'原始数据-年度'!E7/'原始数据-年度'!E5</f>
        <v>0.51776520276790761</v>
      </c>
      <c r="D7" s="12"/>
      <c r="E7" s="2" t="s">
        <v>179</v>
      </c>
    </row>
    <row r="8" spans="1:5">
      <c r="A8" s="8" t="s">
        <v>180</v>
      </c>
      <c r="B8" s="16">
        <f>'原始数据-年度'!D6/'原始数据-年度'!D5</f>
        <v>0.59468629215152569</v>
      </c>
      <c r="C8" s="16">
        <f>'原始数据-年度'!E6/'原始数据-年度'!E5</f>
        <v>0.41621685056758473</v>
      </c>
      <c r="D8" s="12"/>
      <c r="E8" s="2" t="s">
        <v>181</v>
      </c>
    </row>
    <row r="9" spans="1:5">
      <c r="A9" s="8" t="s">
        <v>182</v>
      </c>
      <c r="B9" s="16">
        <f>'原始数据-年度'!D35/'原始数据-年度'!C35-1</f>
        <v>1.2864466517141944</v>
      </c>
      <c r="C9" s="16">
        <f>'原始数据-年度'!E35/'原始数据-年度'!D35-1</f>
        <v>2.2282791479820627</v>
      </c>
      <c r="D9" s="12"/>
      <c r="E9" s="2" t="s">
        <v>183</v>
      </c>
    </row>
    <row r="10" spans="1:5">
      <c r="A10" s="8" t="s">
        <v>184</v>
      </c>
      <c r="B10" s="16">
        <f>'原始数据-年度'!D37/'原始数据-年度'!C37-1</f>
        <v>81.400000000000006</v>
      </c>
      <c r="C10" s="16">
        <f>'原始数据-年度'!E37/'原始数据-年度'!D37-1</f>
        <v>11.657766990291263</v>
      </c>
      <c r="D10" s="12"/>
      <c r="E10" s="2" t="s">
        <v>183</v>
      </c>
    </row>
    <row r="11" spans="1:5">
      <c r="A11" s="8" t="s">
        <v>83</v>
      </c>
      <c r="B11" s="16">
        <f>'原始数据-年度'!C15</f>
        <v>0.44750000000000001</v>
      </c>
      <c r="C11" s="16">
        <f>'原始数据-年度'!E15</f>
        <v>0.60440000000000005</v>
      </c>
      <c r="D11" s="16">
        <f>1-'原始数据-期间与IPO'!F5/'原始数据-期间与IPO'!F4</f>
        <v>0.56008935942129001</v>
      </c>
      <c r="E11" s="2" t="s">
        <v>185</v>
      </c>
    </row>
    <row r="12" spans="1:5">
      <c r="A12" s="8" t="s">
        <v>77</v>
      </c>
      <c r="B12" s="16">
        <f>'原始数据-年度'!C10</f>
        <v>0.44219999999999998</v>
      </c>
      <c r="C12" s="16">
        <f>'原始数据-年度'!E10</f>
        <v>0.60129999999999995</v>
      </c>
      <c r="D12" s="12"/>
      <c r="E12" s="2" t="s">
        <v>186</v>
      </c>
    </row>
    <row r="13" spans="1:5">
      <c r="A13" s="8" t="s">
        <v>187</v>
      </c>
      <c r="B13" s="16">
        <f>'原始数据-年度'!C22/'原始数据-年度'!C4</f>
        <v>-0.11323195990307564</v>
      </c>
      <c r="C13" s="16">
        <f>'原始数据-年度'!E22/'原始数据-年度'!E4</f>
        <v>0.34765107567117232</v>
      </c>
      <c r="D13" s="16">
        <f>'原始数据-期间与IPO'!F7/'原始数据-期间与IPO'!F4</f>
        <v>0.21169991883674799</v>
      </c>
      <c r="E13" s="2" t="s">
        <v>188</v>
      </c>
    </row>
    <row r="14" spans="1:5">
      <c r="A14" s="8" t="s">
        <v>189</v>
      </c>
      <c r="B14" s="16">
        <f>'原始数据-年度'!C21/'原始数据-年度'!C4</f>
        <v>-7.0035768507626259E-2</v>
      </c>
      <c r="C14" s="16">
        <f>'原始数据-年度'!E21/'原始数据-年度'!E4</f>
        <v>0.16372360755296408</v>
      </c>
      <c r="D14" s="16">
        <f>'原始数据-期间与IPO'!F6/'原始数据-期间与IPO'!F4</f>
        <v>0.23779643853706192</v>
      </c>
      <c r="E14" s="2" t="s">
        <v>190</v>
      </c>
    </row>
    <row r="15" spans="1:5">
      <c r="A15" s="8" t="s">
        <v>191</v>
      </c>
      <c r="B15" s="16">
        <f>'原始数据-年度'!C26/'原始数据-年度'!C4</f>
        <v>0.31389693240430733</v>
      </c>
      <c r="C15" s="16">
        <f>'原始数据-年度'!E26/'原始数据-年度'!E4</f>
        <v>8.531055083499714E-2</v>
      </c>
      <c r="D15" s="16">
        <f>'原始数据-期间与IPO'!F9/'原始数据-期间与IPO'!F4</f>
        <v>0.11794924623708695</v>
      </c>
      <c r="E15" s="2" t="s">
        <v>192</v>
      </c>
    </row>
    <row r="16" spans="1:5">
      <c r="A16" s="8" t="s">
        <v>193</v>
      </c>
      <c r="B16" s="16">
        <f>'原始数据-年度'!C24/'原始数据-年度'!C4</f>
        <v>0.23702166219246121</v>
      </c>
      <c r="C16" s="16">
        <f>'原始数据-年度'!E24/'原始数据-年度'!E4</f>
        <v>8.3096422680030771E-2</v>
      </c>
      <c r="D16" s="16">
        <f>'原始数据-期间与IPO'!F10/'原始数据-期间与IPO'!F4</f>
        <v>0.1423938611698756</v>
      </c>
      <c r="E16" s="2" t="s">
        <v>194</v>
      </c>
    </row>
    <row r="17" spans="1:5">
      <c r="A17" s="8" t="s">
        <v>195</v>
      </c>
      <c r="B17" s="16">
        <f>'原始数据-年度'!C25/'原始数据-年度'!C4</f>
        <v>8.3753104294231787E-2</v>
      </c>
      <c r="C17" s="16">
        <f>'原始数据-年度'!E25/'原始数据-年度'!E4</f>
        <v>0.23515760568380775</v>
      </c>
      <c r="D17" s="16">
        <f>'原始数据-期间与IPO'!F11/'原始数据-期间与IPO'!F4</f>
        <v>3.6524157696935441E-2</v>
      </c>
      <c r="E17" s="2" t="s">
        <v>196</v>
      </c>
    </row>
    <row r="18" spans="1:5">
      <c r="A18" s="8" t="s">
        <v>197</v>
      </c>
      <c r="B18" s="17" t="str">
        <f>IF('原始数据-年度'!C22&lt;=0,"基期为负",'原始数据-年度'!C28/'原始数据-年度'!C22)</f>
        <v>基期为负</v>
      </c>
      <c r="C18" s="17">
        <f>'原始数据-年度'!E28/'原始数据-年度'!E22</f>
        <v>1.1341153186239659</v>
      </c>
      <c r="D18" s="17">
        <f>'原始数据-期间与IPO'!F8/'原始数据-期间与IPO'!F7</f>
        <v>0.94922729976554776</v>
      </c>
      <c r="E18" s="2" t="s">
        <v>198</v>
      </c>
    </row>
    <row r="19" spans="1:5">
      <c r="A19" s="4" t="s">
        <v>199</v>
      </c>
      <c r="C19" s="16">
        <f>('原始数据-年度'!E4/'原始数据-年度'!C4)^(1/2)-1</f>
        <v>2.2677518569952686</v>
      </c>
      <c r="E19" s="2" t="s">
        <v>200</v>
      </c>
    </row>
    <row r="21" spans="1:5">
      <c r="A21" s="28" t="s">
        <v>201</v>
      </c>
      <c r="B21" s="24"/>
      <c r="C21" s="24"/>
      <c r="D21" s="24"/>
      <c r="E21" s="24"/>
    </row>
    <row r="22" spans="1:5">
      <c r="A22" s="5" t="s">
        <v>63</v>
      </c>
      <c r="B22" s="5" t="s">
        <v>65</v>
      </c>
      <c r="C22" s="5" t="s">
        <v>66</v>
      </c>
      <c r="D22" s="5" t="s">
        <v>67</v>
      </c>
      <c r="E22" s="5" t="s">
        <v>202</v>
      </c>
    </row>
    <row r="23" spans="1:5">
      <c r="A23" s="8" t="s">
        <v>203</v>
      </c>
      <c r="B23" s="17">
        <f>'原始数据-年度'!C6/'原始数据-年度'!C35</f>
        <v>3.8250849086831145</v>
      </c>
      <c r="C23" s="17">
        <f>'原始数据-年度'!D6/'原始数据-年度'!D35</f>
        <v>3.2307132847533633</v>
      </c>
      <c r="D23" s="17">
        <f>'原始数据-年度'!E6/'原始数据-年度'!E35</f>
        <v>3.0282831965967789</v>
      </c>
      <c r="E23" s="2" t="s">
        <v>204</v>
      </c>
    </row>
    <row r="24" spans="1:5">
      <c r="A24" s="8" t="s">
        <v>205</v>
      </c>
      <c r="B24" s="17">
        <f>'原始数据-年度'!C36</f>
        <v>3.83</v>
      </c>
      <c r="C24" s="17">
        <f>'原始数据-年度'!D36</f>
        <v>3.23</v>
      </c>
      <c r="D24" s="17">
        <f>'原始数据-年度'!E36</f>
        <v>3.03</v>
      </c>
      <c r="E24" s="2" t="s">
        <v>206</v>
      </c>
    </row>
    <row r="25" spans="1:5">
      <c r="A25" s="8" t="s">
        <v>207</v>
      </c>
      <c r="B25" s="17">
        <f>B23-B24</f>
        <v>-4.9150913168856114E-3</v>
      </c>
      <c r="C25" s="17">
        <f>C23-C24</f>
        <v>7.1328475336329689E-4</v>
      </c>
      <c r="D25" s="17">
        <f>D23-D24</f>
        <v>-1.7168034032208901E-3</v>
      </c>
      <c r="E25" s="2" t="s">
        <v>208</v>
      </c>
    </row>
    <row r="26" spans="1:5">
      <c r="A26" s="8" t="s">
        <v>209</v>
      </c>
      <c r="B26" s="17">
        <f>'原始数据-年度'!C7/'原始数据-年度'!C37</f>
        <v>59.341999999999999</v>
      </c>
      <c r="C26" s="17">
        <f>'原始数据-年度'!D7/'原始数据-年度'!D37</f>
        <v>26.043106796116504</v>
      </c>
      <c r="D26" s="17">
        <f>'原始数据-年度'!E7/'原始数据-年度'!E37</f>
        <v>16.641071907957816</v>
      </c>
      <c r="E26" s="2" t="s">
        <v>204</v>
      </c>
    </row>
    <row r="27" spans="1:5">
      <c r="A27" s="8" t="s">
        <v>210</v>
      </c>
      <c r="B27" s="17">
        <f>'原始数据-年度'!C38</f>
        <v>59.34</v>
      </c>
      <c r="C27" s="17">
        <f>'原始数据-年度'!D38</f>
        <v>26.04</v>
      </c>
      <c r="D27" s="17">
        <f>'原始数据-年度'!E38</f>
        <v>16.64</v>
      </c>
      <c r="E27" s="2" t="s">
        <v>206</v>
      </c>
    </row>
    <row r="28" spans="1:5">
      <c r="A28" s="8" t="s">
        <v>207</v>
      </c>
      <c r="B28" s="17">
        <f>B26-B27</f>
        <v>1.9999999999953388E-3</v>
      </c>
      <c r="C28" s="17">
        <f>C26-C27</f>
        <v>3.1067961165049951E-3</v>
      </c>
      <c r="D28" s="17">
        <f>D26-D27</f>
        <v>1.0719079578151991E-3</v>
      </c>
      <c r="E28" s="2" t="s">
        <v>208</v>
      </c>
    </row>
    <row r="30" spans="1:5">
      <c r="A30" s="28" t="s">
        <v>211</v>
      </c>
      <c r="B30" s="24"/>
      <c r="C30" s="24"/>
      <c r="D30" s="24"/>
      <c r="E30" s="24"/>
    </row>
    <row r="31" spans="1:5">
      <c r="A31" s="8" t="s">
        <v>212</v>
      </c>
      <c r="B31" s="18">
        <f>'原始数据-期间与IPO'!B23*'原始数据-期间与IPO'!B24</f>
        <v>6099322.247200001</v>
      </c>
      <c r="C31" s="2" t="s">
        <v>213</v>
      </c>
    </row>
    <row r="32" spans="1:5">
      <c r="A32" s="8" t="s">
        <v>214</v>
      </c>
      <c r="B32" s="17">
        <f>B31/'原始数据-期间与IPO'!B25</f>
        <v>10.00000007738565</v>
      </c>
      <c r="C32" s="2" t="s">
        <v>215</v>
      </c>
    </row>
    <row r="33" spans="1:5">
      <c r="A33" s="8" t="s">
        <v>216</v>
      </c>
      <c r="B33" s="17">
        <f>B31/'原始数据-年度'!E4</f>
        <v>35.893794157288674</v>
      </c>
      <c r="C33" s="2" t="s">
        <v>217</v>
      </c>
    </row>
    <row r="34" spans="1:5">
      <c r="A34" s="8" t="s">
        <v>218</v>
      </c>
      <c r="B34" s="17">
        <f>'原始数据-期间与IPO'!B23/'原始数据-期间与IPO'!B30</f>
        <v>218.55072463768118</v>
      </c>
      <c r="C34" s="2" t="s">
        <v>219</v>
      </c>
    </row>
    <row r="35" spans="1:5">
      <c r="A35" s="8" t="s">
        <v>220</v>
      </c>
      <c r="B35" s="17">
        <f>'原始数据-年度'!E21/'原始数据-期间与IPO'!B24</f>
        <v>0.68784926750279141</v>
      </c>
      <c r="C35" s="2" t="s">
        <v>221</v>
      </c>
    </row>
    <row r="36" spans="1:5">
      <c r="A36" s="8" t="s">
        <v>222</v>
      </c>
      <c r="B36" s="18">
        <f>'原始数据-期间与IPO'!B25-'原始数据-期间与IPO'!B27-'原始数据-期间与IPO'!B26</f>
        <v>-1.0000000125728548E-2</v>
      </c>
      <c r="C36" s="2" t="s">
        <v>223</v>
      </c>
    </row>
    <row r="38" spans="1:5">
      <c r="A38" s="28" t="s">
        <v>224</v>
      </c>
      <c r="B38" s="24"/>
      <c r="C38" s="24"/>
      <c r="D38" s="24"/>
      <c r="E38" s="24"/>
    </row>
    <row r="39" spans="1:5">
      <c r="A39" s="5" t="s">
        <v>63</v>
      </c>
      <c r="B39" s="5" t="s">
        <v>137</v>
      </c>
      <c r="C39" s="5" t="s">
        <v>138</v>
      </c>
      <c r="D39" s="5" t="s">
        <v>225</v>
      </c>
      <c r="E39" s="5" t="s">
        <v>226</v>
      </c>
    </row>
    <row r="40" spans="1:5">
      <c r="A40" s="8" t="s">
        <v>69</v>
      </c>
      <c r="B40" s="18">
        <f>'原始数据-期间与IPO'!C18</f>
        <v>105200</v>
      </c>
      <c r="C40" s="18">
        <f>'原始数据-期间与IPO'!D18</f>
        <v>112800</v>
      </c>
      <c r="D40" s="18">
        <f>'原始数据-期间与IPO'!F4</f>
        <v>115224.56</v>
      </c>
      <c r="E40" s="19" t="str">
        <f>IF('原始数据-期间与IPO'!F4&gt;'原始数据-期间与IPO'!D18,"实际高于预计上限",IF('原始数据-期间与IPO'!F4&lt;'原始数据-期间与IPO'!C18,"低于下限","区间内"))</f>
        <v>实际高于预计上限</v>
      </c>
    </row>
    <row r="41" spans="1:5">
      <c r="A41" s="8" t="s">
        <v>90</v>
      </c>
      <c r="B41" s="18">
        <f>'原始数据-期间与IPO'!C19</f>
        <v>25800</v>
      </c>
      <c r="C41" s="18">
        <f>'原始数据-期间与IPO'!D19</f>
        <v>30600</v>
      </c>
      <c r="D41" s="18">
        <f>'原始数据-期间与IPO'!F6</f>
        <v>27399.99</v>
      </c>
      <c r="E41" s="19" t="str">
        <f>IF('原始数据-期间与IPO'!F6&gt;'原始数据-期间与IPO'!D19,"实际高于预计上限",IF('原始数据-期间与IPO'!F6&lt;'原始数据-期间与IPO'!C19,"低于下限","区间内"))</f>
        <v>区间内</v>
      </c>
    </row>
    <row r="42" spans="1:5">
      <c r="A42" s="8" t="s">
        <v>91</v>
      </c>
      <c r="B42" s="18">
        <f>'原始数据-期间与IPO'!C20</f>
        <v>23600</v>
      </c>
      <c r="C42" s="18">
        <f>'原始数据-期间与IPO'!D20</f>
        <v>28300</v>
      </c>
      <c r="D42" s="18">
        <f>'原始数据-期间与IPO'!F7</f>
        <v>24393.03</v>
      </c>
      <c r="E42" s="19" t="str">
        <f>IF('原始数据-期间与IPO'!F7&gt;'原始数据-期间与IPO'!D20,"实际高于预计上限",IF('原始数据-期间与IPO'!F7&lt;'原始数据-期间与IPO'!C20,"低于下限","区间内"))</f>
        <v>区间内</v>
      </c>
    </row>
    <row r="44" spans="1:5">
      <c r="A44" s="28" t="s">
        <v>227</v>
      </c>
      <c r="B44" s="24"/>
      <c r="C44" s="24"/>
      <c r="D44" s="24"/>
      <c r="E44" s="24"/>
    </row>
    <row r="45" spans="1:5">
      <c r="A45" s="8" t="s">
        <v>228</v>
      </c>
      <c r="B45" s="20">
        <f>SUM('原始数据-年度'!C6:C9)-'原始数据-年度'!C5</f>
        <v>0</v>
      </c>
    </row>
    <row r="46" spans="1:5">
      <c r="A46" s="8" t="s">
        <v>229</v>
      </c>
      <c r="B46" s="20">
        <f>SUM('原始数据-年度'!D6:D9)-'原始数据-年度'!D5</f>
        <v>0</v>
      </c>
    </row>
    <row r="47" spans="1:5">
      <c r="A47" s="8" t="s">
        <v>230</v>
      </c>
      <c r="B47" s="20">
        <f>SUM('原始数据-年度'!E6:E9)-'原始数据-年度'!E5</f>
        <v>0</v>
      </c>
    </row>
    <row r="48" spans="1:5">
      <c r="A48" s="8" t="s">
        <v>231</v>
      </c>
      <c r="B48" s="20">
        <f>SUM('原始数据-年度'!C17:C20)-'原始数据-年度'!C16</f>
        <v>0</v>
      </c>
    </row>
    <row r="49" spans="1:4">
      <c r="A49" s="8" t="s">
        <v>232</v>
      </c>
      <c r="B49" s="20">
        <f>SUM('原始数据-年度'!D17:D20)-'原始数据-年度'!D16</f>
        <v>0</v>
      </c>
    </row>
    <row r="50" spans="1:4">
      <c r="A50" s="8" t="s">
        <v>233</v>
      </c>
      <c r="B50" s="20">
        <f>SUM('原始数据-年度'!E17:E20)-'原始数据-年度'!E16</f>
        <v>0</v>
      </c>
    </row>
    <row r="51" spans="1:4">
      <c r="A51" s="8" t="s">
        <v>234</v>
      </c>
      <c r="B51" s="20">
        <f>'原始数据-年度'!E6*'原始数据-年度'!E11-'原始数据-年度'!E17</f>
        <v>0.1640320000005886</v>
      </c>
    </row>
    <row r="52" spans="1:4">
      <c r="A52" s="8" t="s">
        <v>235</v>
      </c>
      <c r="B52" s="20">
        <f>'原始数据-年度'!E7*'原始数据-年度'!E12-'原始数据-年度'!E18</f>
        <v>3.0094420000023092</v>
      </c>
    </row>
    <row r="53" spans="1:4">
      <c r="A53" s="8" t="s">
        <v>236</v>
      </c>
      <c r="B53" s="21">
        <f>('原始数据-年度'!E4/'原始数据-年度'!C4)^(1/2)-1-2.2678</f>
        <v>-4.814300473121591E-5</v>
      </c>
    </row>
    <row r="54" spans="1:4">
      <c r="A54" s="8" t="s">
        <v>237</v>
      </c>
      <c r="B54" s="21">
        <f>'原始数据-期间与IPO'!F4/'原始数据-期间与IPO'!D4-1-0.4854</f>
        <v>-9.9258597698326234E-6</v>
      </c>
    </row>
    <row r="56" spans="1:4">
      <c r="A56" s="28" t="s">
        <v>238</v>
      </c>
      <c r="B56" s="24"/>
      <c r="C56" s="24"/>
      <c r="D56" s="24"/>
    </row>
    <row r="57" spans="1:4">
      <c r="A57" s="5" t="s">
        <v>63</v>
      </c>
      <c r="B57" s="5" t="s">
        <v>65</v>
      </c>
      <c r="C57" s="5" t="s">
        <v>66</v>
      </c>
      <c r="D57" s="5" t="s">
        <v>67</v>
      </c>
    </row>
    <row r="58" spans="1:4">
      <c r="A58" s="8" t="s">
        <v>239</v>
      </c>
      <c r="B58" s="18">
        <f>'原始数据-年度'!C4/10000</f>
        <v>1.5913440000000001</v>
      </c>
      <c r="C58" s="18">
        <f>'原始数据-年度'!D4/10000</f>
        <v>7.8554139999999997</v>
      </c>
      <c r="D58" s="18">
        <f>'原始数据-年度'!E4/10000</f>
        <v>16.992692999999999</v>
      </c>
    </row>
    <row r="59" spans="1:4">
      <c r="A59" s="8" t="s">
        <v>240</v>
      </c>
      <c r="B59" s="12"/>
      <c r="C59" s="16">
        <f>'原始数据-年度'!D4/'原始数据-年度'!C4-1</f>
        <v>3.936339345861108</v>
      </c>
      <c r="D59" s="16">
        <f>'原始数据-年度'!E4/'原始数据-年度'!D4-1</f>
        <v>1.1631823605986904</v>
      </c>
    </row>
    <row r="60" spans="1:4">
      <c r="A60" s="8" t="s">
        <v>241</v>
      </c>
      <c r="B60" s="18">
        <f>'原始数据-年度'!C21/10000</f>
        <v>-0.11145099999999999</v>
      </c>
      <c r="C60" s="18">
        <f>'原始数据-年度'!D21/10000</f>
        <v>0.9547469999999999</v>
      </c>
      <c r="D60" s="18">
        <f>'原始数据-年度'!E21/10000</f>
        <v>2.7821050000000001</v>
      </c>
    </row>
    <row r="61" spans="1:4">
      <c r="A61" s="8" t="s">
        <v>242</v>
      </c>
      <c r="B61" s="18">
        <f>'原始数据-年度'!C22/10000</f>
        <v>-0.18019100000000002</v>
      </c>
      <c r="C61" s="18">
        <f>'原始数据-年度'!D22/10000</f>
        <v>0.78476499999999993</v>
      </c>
      <c r="D61" s="18">
        <f>'原始数据-年度'!E22/10000</f>
        <v>5.9075280000000001</v>
      </c>
    </row>
    <row r="62" spans="1:4">
      <c r="A62" s="8" t="s">
        <v>77</v>
      </c>
      <c r="B62" s="16">
        <f>'原始数据-年度'!C10</f>
        <v>0.44219999999999998</v>
      </c>
      <c r="C62" s="16">
        <f>'原始数据-年度'!D10</f>
        <v>0.56740000000000002</v>
      </c>
      <c r="D62" s="16">
        <f>'原始数据-年度'!E10</f>
        <v>0.60129999999999995</v>
      </c>
    </row>
    <row r="63" spans="1:4">
      <c r="A63" s="8" t="s">
        <v>243</v>
      </c>
      <c r="B63" s="16">
        <f>'原始数据-年度'!C11</f>
        <v>0.43709999999999999</v>
      </c>
      <c r="C63" s="16">
        <f>'原始数据-年度'!D11</f>
        <v>0.51649999999999996</v>
      </c>
      <c r="D63" s="16">
        <f>'原始数据-年度'!E11</f>
        <v>0.56720000000000004</v>
      </c>
    </row>
    <row r="64" spans="1:4">
      <c r="A64" s="8" t="s">
        <v>244</v>
      </c>
      <c r="B64" s="16">
        <f>'原始数据-年度'!C12</f>
        <v>0.87670000000000003</v>
      </c>
      <c r="C64" s="16">
        <f>'原始数据-年度'!D12</f>
        <v>0.69259999999999999</v>
      </c>
      <c r="D64" s="16">
        <f>'原始数据-年度'!E12</f>
        <v>0.63180000000000003</v>
      </c>
    </row>
    <row r="65" spans="1:4">
      <c r="A65" s="8" t="s">
        <v>245</v>
      </c>
      <c r="B65" s="18">
        <f>'原始数据-年度'!C7/10000</f>
        <v>2.9670999999999999E-2</v>
      </c>
      <c r="C65" s="18">
        <f>'原始数据-年度'!D7/10000</f>
        <v>1.0729759999999999</v>
      </c>
      <c r="D65" s="18">
        <f>'原始数据-年度'!E7/10000</f>
        <v>8.6783190000000001</v>
      </c>
    </row>
    <row r="66" spans="1:4">
      <c r="A66" s="8" t="s">
        <v>246</v>
      </c>
      <c r="B66" s="18">
        <f>'原始数据-年度'!C6/10000</f>
        <v>1.1938090000000001</v>
      </c>
      <c r="C66" s="18">
        <f>'原始数据-年度'!D6/10000</f>
        <v>2.305437</v>
      </c>
      <c r="D66" s="18">
        <f>'原始数据-年度'!E6/10000</f>
        <v>6.9762559999999993</v>
      </c>
    </row>
    <row r="67" spans="1:4">
      <c r="A67" s="8" t="s">
        <v>247</v>
      </c>
      <c r="B67" s="18">
        <f>('原始数据-年度'!C8+'原始数据-年度'!C9)/10000</f>
        <v>0.35188500000000006</v>
      </c>
      <c r="C67" s="18">
        <f>('原始数据-年度'!D8+'原始数据-年度'!D9)/10000</f>
        <v>0.49831499999999995</v>
      </c>
      <c r="D67" s="18">
        <f>('原始数据-年度'!E8+'原始数据-年度'!E9)/10000</f>
        <v>1.1065339999999999</v>
      </c>
    </row>
    <row r="68" spans="1:4">
      <c r="A68" s="8" t="s">
        <v>248</v>
      </c>
      <c r="B68" s="22">
        <f>'原始数据-年度'!C35</f>
        <v>3121</v>
      </c>
      <c r="C68" s="22">
        <f>'原始数据-年度'!D35</f>
        <v>7136</v>
      </c>
      <c r="D68" s="22">
        <f>'原始数据-年度'!E35</f>
        <v>23037</v>
      </c>
    </row>
    <row r="69" spans="1:4">
      <c r="A69" s="8" t="s">
        <v>249</v>
      </c>
      <c r="B69" s="22">
        <f>'原始数据-年度'!C37</f>
        <v>5</v>
      </c>
      <c r="C69" s="22">
        <f>'原始数据-年度'!D37</f>
        <v>412</v>
      </c>
      <c r="D69" s="22">
        <f>'原始数据-年度'!E37</f>
        <v>5215</v>
      </c>
    </row>
  </sheetData>
  <mergeCells count="5">
    <mergeCell ref="A21:E21"/>
    <mergeCell ref="A30:E30"/>
    <mergeCell ref="A56:D56"/>
    <mergeCell ref="A38:E38"/>
    <mergeCell ref="A44:E44"/>
  </mergeCells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8.83203125" defaultRowHeight="14"/>
  <sheetData>
    <row r="1" spans="1:1" ht="18">
      <c r="A1" s="1" t="s">
        <v>250</v>
      </c>
    </row>
  </sheetData>
  <phoneticPr fontId="10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5"/>
  <sheetViews>
    <sheetView showGridLines="0" workbookViewId="0"/>
  </sheetViews>
  <sheetFormatPr baseColWidth="10" defaultColWidth="8.83203125" defaultRowHeight="14"/>
  <cols>
    <col min="1" max="1" width="115" customWidth="1"/>
  </cols>
  <sheetData>
    <row r="1" spans="1:10" ht="18">
      <c r="A1" s="1" t="s">
        <v>251</v>
      </c>
    </row>
    <row r="3" spans="1:10">
      <c r="A3" s="3" t="s">
        <v>252</v>
      </c>
    </row>
    <row r="4" spans="1:10" ht="80" customHeight="1">
      <c r="A4" s="29" t="s">
        <v>253</v>
      </c>
      <c r="B4" s="24"/>
      <c r="C4" s="24"/>
      <c r="D4" s="24"/>
      <c r="E4" s="24"/>
      <c r="F4" s="24"/>
      <c r="G4" s="24"/>
      <c r="H4" s="24"/>
      <c r="I4" s="24"/>
      <c r="J4" s="24"/>
    </row>
    <row r="6" spans="1:10">
      <c r="A6" s="3" t="s">
        <v>254</v>
      </c>
    </row>
    <row r="7" spans="1:10" ht="80" customHeight="1">
      <c r="A7" s="29" t="s">
        <v>255</v>
      </c>
      <c r="B7" s="24"/>
      <c r="C7" s="24"/>
      <c r="D7" s="24"/>
      <c r="E7" s="24"/>
      <c r="F7" s="24"/>
      <c r="G7" s="24"/>
      <c r="H7" s="24"/>
      <c r="I7" s="24"/>
      <c r="J7" s="24"/>
    </row>
    <row r="9" spans="1:10">
      <c r="A9" s="3" t="s">
        <v>256</v>
      </c>
    </row>
    <row r="10" spans="1:10" ht="80" customHeight="1">
      <c r="A10" s="29" t="s">
        <v>257</v>
      </c>
      <c r="B10" s="24"/>
      <c r="C10" s="24"/>
      <c r="D10" s="24"/>
      <c r="E10" s="24"/>
      <c r="F10" s="24"/>
      <c r="G10" s="24"/>
      <c r="H10" s="24"/>
      <c r="I10" s="24"/>
      <c r="J10" s="24"/>
    </row>
    <row r="12" spans="1:10">
      <c r="A12" s="3" t="s">
        <v>258</v>
      </c>
    </row>
    <row r="13" spans="1:10" ht="80" customHeight="1">
      <c r="A13" s="29" t="s">
        <v>259</v>
      </c>
      <c r="B13" s="24"/>
      <c r="C13" s="24"/>
      <c r="D13" s="24"/>
      <c r="E13" s="24"/>
      <c r="F13" s="24"/>
      <c r="G13" s="24"/>
      <c r="H13" s="24"/>
      <c r="I13" s="24"/>
      <c r="J13" s="24"/>
    </row>
    <row r="15" spans="1:10">
      <c r="A15" s="3" t="s">
        <v>260</v>
      </c>
    </row>
    <row r="16" spans="1:10" ht="80" customHeight="1">
      <c r="A16" s="29" t="s">
        <v>261</v>
      </c>
      <c r="B16" s="24"/>
      <c r="C16" s="24"/>
      <c r="D16" s="24"/>
      <c r="E16" s="24"/>
      <c r="F16" s="24"/>
      <c r="G16" s="24"/>
      <c r="H16" s="24"/>
      <c r="I16" s="24"/>
      <c r="J16" s="24"/>
    </row>
    <row r="18" spans="1:10">
      <c r="A18" s="3" t="s">
        <v>262</v>
      </c>
    </row>
    <row r="19" spans="1:10" ht="80" customHeight="1">
      <c r="A19" s="29" t="s">
        <v>263</v>
      </c>
      <c r="B19" s="24"/>
      <c r="C19" s="24"/>
      <c r="D19" s="24"/>
      <c r="E19" s="24"/>
      <c r="F19" s="24"/>
      <c r="G19" s="24"/>
      <c r="H19" s="24"/>
      <c r="I19" s="24"/>
      <c r="J19" s="24"/>
    </row>
    <row r="21" spans="1:10">
      <c r="A21" s="3" t="s">
        <v>264</v>
      </c>
    </row>
    <row r="22" spans="1:10" ht="80" customHeight="1">
      <c r="A22" s="29" t="s">
        <v>265</v>
      </c>
      <c r="B22" s="24"/>
      <c r="C22" s="24"/>
      <c r="D22" s="24"/>
      <c r="E22" s="24"/>
      <c r="F22" s="24"/>
      <c r="G22" s="24"/>
      <c r="H22" s="24"/>
      <c r="I22" s="24"/>
      <c r="J22" s="24"/>
    </row>
    <row r="24" spans="1:10">
      <c r="A24" s="3" t="s">
        <v>266</v>
      </c>
    </row>
    <row r="25" spans="1:10" ht="80" customHeight="1">
      <c r="A25" s="29" t="s">
        <v>267</v>
      </c>
      <c r="B25" s="24"/>
      <c r="C25" s="24"/>
      <c r="D25" s="24"/>
      <c r="E25" s="24"/>
      <c r="F25" s="24"/>
      <c r="G25" s="24"/>
      <c r="H25" s="24"/>
      <c r="I25" s="24"/>
      <c r="J25" s="24"/>
    </row>
  </sheetData>
  <mergeCells count="8">
    <mergeCell ref="A25:J25"/>
    <mergeCell ref="A13:J13"/>
    <mergeCell ref="A22:J22"/>
    <mergeCell ref="A4:J4"/>
    <mergeCell ref="A7:J7"/>
    <mergeCell ref="A19:J19"/>
    <mergeCell ref="A16:J16"/>
    <mergeCell ref="A10:J10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说明与来源</vt:lpstr>
      <vt:lpstr>原始数据-年度</vt:lpstr>
      <vt:lpstr>原始数据-期间与IPO</vt:lpstr>
      <vt:lpstr>核心计算</vt:lpstr>
      <vt:lpstr>趋势图表</vt:lpstr>
      <vt:lpstr>分析结论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蘑菇 蘑菇</cp:lastModifiedBy>
  <dcterms:created xsi:type="dcterms:W3CDTF">2026-09-03T16:59:23Z</dcterms:created>
  <dcterms:modified xsi:type="dcterms:W3CDTF">2026-09-04T09:17:42Z</dcterms:modified>
</cp:coreProperties>
</file>
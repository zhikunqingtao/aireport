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uoqingtao/Desktop/AI办公评测/codex/work/native_audit_v3/copies/doubao_excel/repair/"/>
    </mc:Choice>
  </mc:AlternateContent>
  <xr:revisionPtr revIDLastSave="0" documentId="8_{40F27CB2-55F7-A546-B6E1-8DE91E7658BD}" xr6:coauthVersionLast="47" xr6:coauthVersionMax="47" xr10:uidLastSave="{00000000-0000-0000-0000-000000000000}"/>
  <bookViews>
    <workbookView xWindow="0" yWindow="660" windowWidth="34560" windowHeight="19920" xr2:uid="{00000000-000D-0000-FFFF-FFFF00000000}"/>
  </bookViews>
  <sheets>
    <sheet name="00_封面与口径" sheetId="1" r:id="rId1"/>
    <sheet name="01_资料来源" sheetId="2" r:id="rId2"/>
    <sheet name="02_原始数据_年度" sheetId="3" r:id="rId3"/>
    <sheet name="03_原始数据_期间" sheetId="4" r:id="rId4"/>
    <sheet name="04_业务经营数据" sheetId="5" r:id="rId5"/>
    <sheet name="05_核心计算" sheetId="6" r:id="rId6"/>
    <sheet name="06_IPO与募投" sheetId="7" r:id="rId7"/>
    <sheet name="07_趋势图表" sheetId="8" r:id="rId8"/>
    <sheet name="08_分析结论" sheetId="9" r:id="rId9"/>
    <sheet name="09_待人工核验" sheetId="10" r:id="rId10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8" l="1"/>
  <c r="D39" i="8"/>
  <c r="C39" i="8"/>
  <c r="D38" i="8"/>
  <c r="C38" i="8"/>
  <c r="C34" i="8"/>
  <c r="C33" i="8"/>
  <c r="C32" i="8"/>
  <c r="C31" i="8"/>
  <c r="C30" i="8"/>
  <c r="C29" i="8"/>
  <c r="D25" i="8"/>
  <c r="C25" i="8"/>
  <c r="D24" i="8"/>
  <c r="C24" i="8"/>
  <c r="D23" i="8"/>
  <c r="C23" i="8"/>
  <c r="D19" i="8"/>
  <c r="C19" i="8"/>
  <c r="E18" i="8"/>
  <c r="D18" i="8"/>
  <c r="C18" i="8"/>
  <c r="E17" i="8"/>
  <c r="D17" i="8"/>
  <c r="C17" i="8"/>
  <c r="F13" i="8"/>
  <c r="C13" i="8"/>
  <c r="C12" i="8"/>
  <c r="C11" i="8"/>
  <c r="D7" i="8"/>
  <c r="C7" i="8"/>
  <c r="D6" i="8"/>
  <c r="C6" i="8"/>
  <c r="D5" i="8"/>
  <c r="C5" i="8"/>
  <c r="C27" i="7"/>
  <c r="D27" i="7" s="1"/>
  <c r="D26" i="7"/>
  <c r="D25" i="7"/>
  <c r="D24" i="7"/>
  <c r="D23" i="7"/>
  <c r="F24" i="6"/>
  <c r="E24" i="6"/>
  <c r="D24" i="6"/>
  <c r="C24" i="6"/>
  <c r="F23" i="6"/>
  <c r="E23" i="6"/>
  <c r="D23" i="6"/>
  <c r="C23" i="6"/>
  <c r="F22" i="6"/>
  <c r="E22" i="6"/>
  <c r="D22" i="6"/>
  <c r="C22" i="6"/>
  <c r="F18" i="6"/>
  <c r="E17" i="6"/>
  <c r="E16" i="6"/>
  <c r="D16" i="6"/>
  <c r="F15" i="6"/>
  <c r="E15" i="6"/>
  <c r="D15" i="6"/>
  <c r="C15" i="6"/>
  <c r="F14" i="6"/>
  <c r="E14" i="6"/>
  <c r="D14" i="6"/>
  <c r="C14" i="6"/>
  <c r="E12" i="6"/>
  <c r="D12" i="6"/>
  <c r="C12" i="6"/>
  <c r="E11" i="6"/>
  <c r="D11" i="6"/>
  <c r="C11" i="6"/>
  <c r="E10" i="6"/>
  <c r="D10" i="6"/>
  <c r="F12" i="8" s="1"/>
  <c r="C10" i="6"/>
  <c r="F11" i="8" s="1"/>
  <c r="F9" i="6"/>
  <c r="E9" i="6"/>
  <c r="E13" i="8" s="1"/>
  <c r="D9" i="6"/>
  <c r="E12" i="8" s="1"/>
  <c r="C9" i="6"/>
  <c r="E11" i="8" s="1"/>
  <c r="F8" i="6"/>
  <c r="E8" i="6"/>
  <c r="D13" i="8" s="1"/>
  <c r="D8" i="6"/>
  <c r="D12" i="8" s="1"/>
  <c r="C8" i="6"/>
  <c r="D11" i="8" s="1"/>
  <c r="F7" i="6"/>
  <c r="E7" i="6"/>
  <c r="F6" i="6"/>
  <c r="E6" i="6"/>
  <c r="D6" i="6"/>
  <c r="E5" i="6"/>
  <c r="F4" i="6"/>
  <c r="E4" i="6"/>
  <c r="D4" i="6"/>
  <c r="E25" i="5"/>
  <c r="E26" i="5" s="1"/>
  <c r="D25" i="5"/>
  <c r="D26" i="5" s="1"/>
  <c r="C25" i="5"/>
  <c r="C26" i="5" s="1"/>
  <c r="E19" i="5"/>
  <c r="D19" i="5"/>
  <c r="C19" i="5"/>
  <c r="E18" i="5"/>
  <c r="D40" i="8" s="1"/>
  <c r="D18" i="5"/>
  <c r="C18" i="5"/>
  <c r="D12" i="5"/>
  <c r="C12" i="5"/>
  <c r="D11" i="5"/>
  <c r="C11" i="5"/>
  <c r="D10" i="5"/>
  <c r="C10" i="5"/>
  <c r="E9" i="5"/>
  <c r="D9" i="5"/>
  <c r="C9" i="5"/>
  <c r="E21" i="4"/>
  <c r="D21" i="4"/>
  <c r="C21" i="4"/>
  <c r="F21" i="4" s="1"/>
  <c r="G28" i="3"/>
  <c r="E28" i="3"/>
  <c r="E11" i="3"/>
  <c r="E13" i="6" s="1"/>
  <c r="D11" i="3"/>
  <c r="D13" i="6" s="1"/>
  <c r="C11" i="3"/>
  <c r="C13" i="6" s="1"/>
  <c r="G7" i="3"/>
  <c r="E7" i="3"/>
  <c r="D7" i="3"/>
  <c r="C7" i="3"/>
  <c r="E12" i="5" l="1"/>
  <c r="E19" i="8" s="1"/>
  <c r="E11" i="5"/>
  <c r="E10" i="5"/>
</calcChain>
</file>

<file path=xl/sharedStrings.xml><?xml version="1.0" encoding="utf-8"?>
<sst xmlns="http://schemas.openxmlformats.org/spreadsheetml/2006/main" count="557" uniqueCount="447">
  <si>
    <t>宇树科技股份有限公司(688836.SH) 经营与财务表现分析底稿</t>
  </si>
  <si>
    <t>资料截止日</t>
  </si>
  <si>
    <t>2026-08-30（该日之后发生的二级市场数据不纳入本底稿）</t>
  </si>
  <si>
    <t>生成日期</t>
  </si>
  <si>
    <t>2026-09-04</t>
  </si>
  <si>
    <t>分析对象</t>
  </si>
  <si>
    <t>宇树科技股份有限公司，高性能通用人形/四足机器人、机器人组件及具身智能模型研发、生产、销售；2026-08-19 上交所科创板上市</t>
  </si>
  <si>
    <t>一、工作簿结构</t>
  </si>
  <si>
    <t>01_资料来源</t>
  </si>
  <si>
    <t>引用文件清单、披露主体、日期、链接与对应数据范围（来源编号 S1~S10）</t>
  </si>
  <si>
    <t>02_原始数据_年度</t>
  </si>
  <si>
    <t>2023A/2024A/2025A 经审计年度原始数据（注册稿口径），逐行标注来源编号</t>
  </si>
  <si>
    <t>03_原始数据_期间</t>
  </si>
  <si>
    <t>2025 分季度/2026Q1/2026H1 实际数；2026H1 业绩预告（预测，单独标识）</t>
  </si>
  <si>
    <t>04_业务经营数据</t>
  </si>
  <si>
    <t>分产品收入/销量/单价、分地区收入、应用场景、人员、出货地位</t>
  </si>
  <si>
    <t>05_核心计算</t>
  </si>
  <si>
    <t>同比、CAGR、利润率、费用率、现金流质量等，全部以 Excel 公式跨表引用，可联动重算</t>
  </si>
  <si>
    <t>06_IPO与募投</t>
  </si>
  <si>
    <t>发行方案、估值历程、原拟募投项目、产能规划（规划≠已实现）</t>
  </si>
  <si>
    <t>07_趋势图表</t>
  </si>
  <si>
    <t>6 张原生 Excel 图表（数据源以公式链接原始表，可编辑、随数据更新）</t>
  </si>
  <si>
    <t>08_分析结论</t>
  </si>
  <si>
    <t>分主题结论及对应数据支撑位置</t>
  </si>
  <si>
    <t>09_待人工核验</t>
  </si>
  <si>
    <t>需人工以招股书原文/年报进一步核验的事项清单</t>
  </si>
  <si>
    <t>二、统一口径</t>
  </si>
  <si>
    <t>货币与单位</t>
  </si>
  <si>
    <t>除特别注明外，金额单位均为人民币【万元】；股数为【万股】；单价为【万元/台】；人数为【人】</t>
  </si>
  <si>
    <t>报告期口径</t>
  </si>
  <si>
    <t>年度=自然年(2023/2024/2025，经审计)；Q1=一季度、H1=上半年、1-9M=前三季度；2023→2025 的 CAGR 按 2 年计算</t>
  </si>
  <si>
    <t>已实现 vs 预测</t>
  </si>
  <si>
    <t>列标题后缀 A=Actual 已实现(经审计/经审阅/上市公告书披露)；E=Estimate 预测。2026H1 业绩预告区间为公司 2026-05 披露的【预测数】，已在 03 表单独列示，不得当作已实现事实；实际数取自 2026-08-17 上市公告书</t>
  </si>
  <si>
    <t>口径差异提示</t>
  </si>
  <si>
    <t>招股书申报稿(2026-03-20) 与注册稿(2026-06-02) 对 2025 年数据有修订，本底稿一律采用注册稿/上市保荐书最终数；差异在备注列说明</t>
  </si>
  <si>
    <t>主营 vs 营业收入</t>
  </si>
  <si>
    <t>主营业务收入不含其他业务；占比分产品/分地区结构均以主营业务收入为分母，营业收入口径占比另注</t>
  </si>
  <si>
    <t>颜色约定</t>
  </si>
  <si>
    <t>黑色=本表数据；绿色=跨工作表公式引用；浅黄底=待人工核验/约数或反推数；灰色斜体=注释与来源</t>
  </si>
  <si>
    <t>三、重要声明</t>
  </si>
  <si>
    <t>本底稿为分析工作稿，不构成投资建议；数据以上交所披露文件原文为准，转引数据已标注；预测不代表实际结果。</t>
  </si>
  <si>
    <t>资料来源清单（优先级：上交所披露 &gt; 公司官方 &gt; 券商/媒体转引）</t>
  </si>
  <si>
    <t>编号</t>
  </si>
  <si>
    <t>文件/资料名称</t>
  </si>
  <si>
    <t>披露主体</t>
  </si>
  <si>
    <t>类型</t>
  </si>
  <si>
    <t>日期</t>
  </si>
  <si>
    <t>链接 / 出处</t>
  </si>
  <si>
    <t>用于数据</t>
  </si>
  <si>
    <t>S1</t>
  </si>
  <si>
    <t>招股说明书（注册稿），项目编号 auditId=2178（申报稿2026-03-20/上会稿2026-05-25/注册稿2026-06-02）</t>
  </si>
  <si>
    <t>上海证券交易所/发行人</t>
  </si>
  <si>
    <t>一手·交易所</t>
  </si>
  <si>
    <t>2026-06-02</t>
  </si>
  <si>
    <t>https://star.sse.com.cn/listing/renewal/ipo/index_listing_detail.shtml?auditId=2178</t>
  </si>
  <si>
    <t>年度三表、产品/地区/销量/费用/募投的最终口径</t>
  </si>
  <si>
    <t>S2</t>
  </si>
  <si>
    <t>《上市保荐书》（注册稿）002178_20260602_VI1W.pdf</t>
  </si>
  <si>
    <t>中信证券/上交所</t>
  </si>
  <si>
    <t>http://static.sse.com.cn/stock/disclosure/announcement/c/202606/002178_20260602_VI1W.pdf</t>
  </si>
  <si>
    <t>主要财务数据及指标表、研发费用、科创属性、劳务外包、市值标准</t>
  </si>
  <si>
    <t>S3</t>
  </si>
  <si>
    <t>《审核中心意见落实函的回复》002178_20260525_V4H0.pdf</t>
  </si>
  <si>
    <t>发行人/上交所</t>
  </si>
  <si>
    <t>2026-05-25</t>
  </si>
  <si>
    <t>http://static.sse.com.cn/stock/disclosure/announcement/c/202605/002178_20260525_V4H0.pdf</t>
  </si>
  <si>
    <t>综合毛利率、2026Q1 经审阅数据、同业对比</t>
  </si>
  <si>
    <t>S4</t>
  </si>
  <si>
    <t>《招股意向书》全文</t>
  </si>
  <si>
    <t>发行人（新浪财经公告库转引）</t>
  </si>
  <si>
    <t>一手·转引</t>
  </si>
  <si>
    <t>2026-07-31</t>
  </si>
  <si>
    <t>https://vip.stock.finance.sina.com.cn/corp/view/vCB_AllBulletinDetail.php?CompanyCode=82494861&amp;gather=1&amp;id=12470775</t>
  </si>
  <si>
    <t>境外主营收入及占比、汇兑、审计截止日后财务信息</t>
  </si>
  <si>
    <t>S5</t>
  </si>
  <si>
    <t>《首次公开发行股票科创板上市公告书》</t>
  </si>
  <si>
    <t>发行人/上海证券报</t>
  </si>
  <si>
    <t>2026-08-17</t>
  </si>
  <si>
    <t>http://paper.cnstock.com/html/2026-08/18/content_2255912.htm（提示性公告）；全文数据见新浪/澎湃转引</t>
  </si>
  <si>
    <t>2026H1 实际业绩、资产负债、发行上市概况</t>
  </si>
  <si>
    <t>S6</t>
  </si>
  <si>
    <t>《发行公告》《投资风险特别公告》《发行结果公告》</t>
  </si>
  <si>
    <t>发行人/巨潮·上证报</t>
  </si>
  <si>
    <t>2026-08-07</t>
  </si>
  <si>
    <t>https://static.cninfo.com.cn/finalpage/2026-08-07/1225462415.PDF</t>
  </si>
  <si>
    <t>发行价、发行数量、募资总额/净额、发行市盈率</t>
  </si>
  <si>
    <t>S7</t>
  </si>
  <si>
    <t>浦银国际《宇树招股书解读：六大维度看全球机器人龙头商业落地》</t>
  </si>
  <si>
    <t>浦银国际</t>
  </si>
  <si>
    <t>二手·研报转引</t>
  </si>
  <si>
    <t>2026-03-24</t>
  </si>
  <si>
    <t>https://www.spdbi.com（研报PDF）</t>
  </si>
  <si>
    <t>2022-2024 及 2025 1-9M 分产品/分地区/应用场景明细（申报稿口径）</t>
  </si>
  <si>
    <t>S8</t>
  </si>
  <si>
    <t>兴业证券《全球通用机器人领军企业》研报</t>
  </si>
  <si>
    <t>兴业证券</t>
  </si>
  <si>
    <t>2026-08-11</t>
  </si>
  <si>
    <t>慧博投研资讯 hibor.com.cn</t>
  </si>
  <si>
    <t>2025 四足销量 23,037 台、收入 69,762.56 万元、单价（注册稿口径）</t>
  </si>
  <si>
    <t>S9</t>
  </si>
  <si>
    <t>国信证券《人形机器人本体系列之宇树科技招股书梳理》</t>
  </si>
  <si>
    <t>国信证券</t>
  </si>
  <si>
    <t>2026-08-22</t>
  </si>
  <si>
    <t>2025 产品结构（营业收入口径）交叉核对</t>
  </si>
  <si>
    <t>S10</t>
  </si>
  <si>
    <t>东方财富/证券时报·数据中心 688836 财务指标</t>
  </si>
  <si>
    <t>数据商</t>
  </si>
  <si>
    <t>二手·数据聚合</t>
  </si>
  <si>
    <t>2026-08-29起</t>
  </si>
  <si>
    <t>https://data.eastmoney.com/stockdata/688836.html；https://stcn.com/quotes/index/sh688836.html</t>
  </si>
  <si>
    <t>季度数据、2026H1 指标交叉核对</t>
  </si>
  <si>
    <t>S11</t>
  </si>
  <si>
    <t>公司官方网站与官方公开资料</t>
  </si>
  <si>
    <t>宇树科技</t>
  </si>
  <si>
    <t>公司官方</t>
  </si>
  <si>
    <t>持续</t>
  </si>
  <si>
    <t>https://www.unitree.com；ir@unitree.com</t>
  </si>
  <si>
    <t>产品线、技术与业务介绍（H1/G1/Go2/B2 等）</t>
  </si>
  <si>
    <t>注：S7~S10 为二手转引/数据聚合，仅用于交叉核对与补充明细；如与 S1~S5 一手披露不一致，以一手披露为准。</t>
  </si>
  <si>
    <t>年度原始数据（单位：万元；比率除外；注册稿最终口径）</t>
  </si>
  <si>
    <t>（金额万元，比率为%；A=已实现并经审计）</t>
  </si>
  <si>
    <t>项目</t>
  </si>
  <si>
    <t>2023A</t>
  </si>
  <si>
    <t>2024A</t>
  </si>
  <si>
    <t>2025A</t>
  </si>
  <si>
    <t>来源</t>
  </si>
  <si>
    <t>备注</t>
  </si>
  <si>
    <t>一、经营规模</t>
  </si>
  <si>
    <t>营业收入</t>
  </si>
  <si>
    <t>注册稿；申报稿曾为170,820.87，以注册稿为准</t>
  </si>
  <si>
    <t>主营业务收入</t>
  </si>
  <si>
    <t>S1/S7</t>
  </si>
  <si>
    <t>2025=境内94,445.56+境外73,165.53</t>
  </si>
  <si>
    <t>其他业务收入</t>
  </si>
  <si>
    <t>计算</t>
  </si>
  <si>
    <t>二、盈利能力</t>
  </si>
  <si>
    <t>归母净利润</t>
  </si>
  <si>
    <t>2023亏损，2024扭亏</t>
  </si>
  <si>
    <t>扣非后归母净利润</t>
  </si>
  <si>
    <t>2025扣非高于归母，因非经常性项目为净损失(主要为股份支付)</t>
  </si>
  <si>
    <t>非经常性损益</t>
  </si>
  <si>
    <t>主营业务毛利率</t>
  </si>
  <si>
    <t>披露值</t>
  </si>
  <si>
    <t>综合毛利率</t>
  </si>
  <si>
    <t>披露值，与主营毛利率口径略异</t>
  </si>
  <si>
    <t>扣非后加权平均ROE</t>
  </si>
  <si>
    <t>基本每股收益(元/股)</t>
  </si>
  <si>
    <t>2023/2024股改前口径不可比，留空</t>
  </si>
  <si>
    <t>三、期间费用与外包</t>
  </si>
  <si>
    <t>研发费用</t>
  </si>
  <si>
    <t>三年累计26,493.44万元</t>
  </si>
  <si>
    <t>销售费用</t>
  </si>
  <si>
    <t>S1/媒体</t>
  </si>
  <si>
    <t>2025约1.41亿、按披露销售费用率8.31%反推=14,120.93，精确值待核</t>
  </si>
  <si>
    <t>劳务外包费用</t>
  </si>
  <si>
    <t>装配环节外包</t>
  </si>
  <si>
    <t>四、资产、权益与现金流（期末/当期）</t>
  </si>
  <si>
    <t>资产总额</t>
  </si>
  <si>
    <t>期末数</t>
  </si>
  <si>
    <t>归母所有者权益</t>
  </si>
  <si>
    <t>资产负债率(合并)</t>
  </si>
  <si>
    <t>经营活动现金流量净额</t>
  </si>
  <si>
    <t>当期数</t>
  </si>
  <si>
    <t>五、人员（期末，人）</t>
  </si>
  <si>
    <t>员工总数</t>
  </si>
  <si>
    <t>仅取得2025年末数</t>
  </si>
  <si>
    <t>研发人员</t>
  </si>
  <si>
    <t>占员工35.66%</t>
  </si>
  <si>
    <t>研发人员占比</t>
  </si>
  <si>
    <t>期间数据：实际(A) 与 2026H1 业绩预告预测(E) 分列（万元）</t>
  </si>
  <si>
    <t>一、已实现数据（A：2025 年分期间为账面/披露数；2026Q1 经审阅；2026H1 取自上市公告书）</t>
  </si>
  <si>
    <t>2025Q1A</t>
  </si>
  <si>
    <t>2025H1A</t>
  </si>
  <si>
    <t>2025 1-9MA</t>
  </si>
  <si>
    <t>2025FYA</t>
  </si>
  <si>
    <t>2026Q1A</t>
  </si>
  <si>
    <t>2026H1A</t>
  </si>
  <si>
    <t>备注/来源</t>
  </si>
  <si>
    <t>S3/S5/S10；2025Q1、H1由同比与1-9M数反推(约)，1-9M及以后为披露精确值</t>
  </si>
  <si>
    <t>S5/S10；2025Q1约0.956亿、1-9M约1.053亿</t>
  </si>
  <si>
    <t>扣非归母净利润</t>
  </si>
  <si>
    <t>S3/S5/S10</t>
  </si>
  <si>
    <t>S5/S10；2025H1约3.43亿、1-9M约4.28亿(约数)</t>
  </si>
  <si>
    <t>营业收入同比</t>
  </si>
  <si>
    <t>S2/S3/S5 披露值</t>
  </si>
  <si>
    <t>扣非归母同比</t>
  </si>
  <si>
    <t>S3/S5 披露值</t>
  </si>
  <si>
    <t>审计/审阅状态</t>
  </si>
  <si>
    <t>2025年度经审计；2026Q1经审阅；2026H1为上市公告书披露(未经审计)；浅黄=约数/反推，精确值以定期报告为准</t>
  </si>
  <si>
    <t>二、2026 年上半年业绩预告（E=预测，公司 2026-05 上会稿披露；【非已实现事实】，仅作对照）</t>
  </si>
  <si>
    <t>预测指标</t>
  </si>
  <si>
    <t>下限</t>
  </si>
  <si>
    <t>上限</t>
  </si>
  <si>
    <t>同比下限</t>
  </si>
  <si>
    <t>同比上限</t>
  </si>
  <si>
    <t>说明</t>
  </si>
  <si>
    <t>2026H1 营业收入(E)</t>
  </si>
  <si>
    <t>预测区间10.52亿~11.28亿</t>
  </si>
  <si>
    <t>2026H1 归母净利润(E)</t>
  </si>
  <si>
    <t>预测2.58亿~3.06亿，上年同期-3,202.45万(扭亏)</t>
  </si>
  <si>
    <t>2026H1 扣非归母(E)</t>
  </si>
  <si>
    <t>预测2.36亿~2.83亿，同比-21.97%~-6.43%</t>
  </si>
  <si>
    <t>三、预测 vs 实际对照（公式；实际取自上市公告书）</t>
  </si>
  <si>
    <t>对照项</t>
  </si>
  <si>
    <t>实际值</t>
  </si>
  <si>
    <t>预测下限</t>
  </si>
  <si>
    <t>预测上限</t>
  </si>
  <si>
    <t>结论</t>
  </si>
  <si>
    <t>2026H1 营业收入</t>
  </si>
  <si>
    <t>业务经营数据（主营口径，金额万元；销量台；单价万元/台）</t>
  </si>
  <si>
    <t>一、主营业务收入分产品（万元 / 占比）</t>
  </si>
  <si>
    <t>产品</t>
  </si>
  <si>
    <t>人形机器人收入</t>
  </si>
  <si>
    <t>S1/S8</t>
  </si>
  <si>
    <t>2025占主营51.78%，成第一大产品</t>
  </si>
  <si>
    <t>四足机器人收入</t>
  </si>
  <si>
    <t>2025注册稿69,762.56</t>
  </si>
  <si>
    <t>机器人组件收入</t>
  </si>
  <si>
    <t>2025与其他合并轧差，见下</t>
  </si>
  <si>
    <t>其他主营收入</t>
  </si>
  <si>
    <t>主营业务收入合计</t>
  </si>
  <si>
    <t>分产品合计，应与02表主营一致</t>
  </si>
  <si>
    <t>人形占比</t>
  </si>
  <si>
    <t>四足占比</t>
  </si>
  <si>
    <t>组件+其他占比</t>
  </si>
  <si>
    <t>2025=轧差数11,065.34(约6.6%)，其中组件约1.04亿待核</t>
  </si>
  <si>
    <t>二、销量（台）与平均单价（万元/台，=收入/销量）</t>
  </si>
  <si>
    <t>指标</t>
  </si>
  <si>
    <t>人形机器人销量(台)</t>
  </si>
  <si>
    <t>S1/上证报</t>
  </si>
  <si>
    <t>2024最终412台(申报稿曾为410)</t>
  </si>
  <si>
    <t>四足机器人销量(台)</t>
  </si>
  <si>
    <t>S7/S8</t>
  </si>
  <si>
    <t>三年合计33,294台(超3.3万台)</t>
  </si>
  <si>
    <t>人形平均单价</t>
  </si>
  <si>
    <t>披露59.34→26.04→16.64；2024按注册稿销量412台机械相除得25.95，与披露26.04差于版本修订，以披露为准</t>
  </si>
  <si>
    <t>四足平均单价</t>
  </si>
  <si>
    <t>3.83→3.23→3.03</t>
  </si>
  <si>
    <t>三、主营业务收入分地区（万元 / 占比）</t>
  </si>
  <si>
    <t>地区</t>
  </si>
  <si>
    <t>境内收入</t>
  </si>
  <si>
    <t>S4/S1</t>
  </si>
  <si>
    <t>2024=主营-境外轧差(申报稿17,156.55略有修订)</t>
  </si>
  <si>
    <t>境外收入</t>
  </si>
  <si>
    <t>占比55.63%→55.74%→43.65%</t>
  </si>
  <si>
    <t>主营合计</t>
  </si>
  <si>
    <t>境外占比</t>
  </si>
  <si>
    <t>四、下游应用场景结构（2025年1-9月，占该产品收入比，申报稿口径）</t>
  </si>
  <si>
    <t>产品/场景</t>
  </si>
  <si>
    <t>科研教育</t>
  </si>
  <si>
    <t>商业消费</t>
  </si>
  <si>
    <t>行业应用</t>
  </si>
  <si>
    <t>人形机器人</t>
  </si>
  <si>
    <t>人形仍高度依赖科研教育(73.6%)</t>
  </si>
  <si>
    <t>四足机器人</t>
  </si>
  <si>
    <t>场景相对均衡</t>
  </si>
  <si>
    <t>五、出货地位与人员</t>
  </si>
  <si>
    <t>2025年人形机器人出货</t>
  </si>
  <si>
    <t>超5,500台（纯人形，不含轮式双臂），公司称出货量全球第一；确认收入口径销量5,215台（S1/S2）</t>
  </si>
  <si>
    <t>报告期(2023-2025)销量合计超3.3万台，全球份额领先（S2）</t>
  </si>
  <si>
    <t>员工</t>
  </si>
  <si>
    <t>2025年末516人，其中研发184人、占35.66%（S2）</t>
  </si>
  <si>
    <t>产能现状</t>
  </si>
  <si>
    <t>2025年前三季度人形产销率超95%，基本满产满销（S7）</t>
  </si>
  <si>
    <t>核心计算（全部为 Excel 公式，绿色=跨表引用；修改原始数据后自动重算）</t>
  </si>
  <si>
    <t>口径/公式说明</t>
  </si>
  <si>
    <t>营业收入同比增速</t>
  </si>
  <si>
    <t>本期/上年同期-1；2026H1对比2025H1</t>
  </si>
  <si>
    <t>营业收入2年CAGR(23→25)</t>
  </si>
  <si>
    <t>(末值/起值)^(1/年数)-1，披露值226.78%</t>
  </si>
  <si>
    <t>归母净利润同比</t>
  </si>
  <si>
    <t>2023为负，2024同比按扭亏口径展示</t>
  </si>
  <si>
    <t>2026H1扣非同比-19.34%</t>
  </si>
  <si>
    <t>销售净利率(归母/营收)</t>
  </si>
  <si>
    <t>归母净利润/营业收入</t>
  </si>
  <si>
    <t>扣非净利率(扣非/营收)</t>
  </si>
  <si>
    <t>扣非归母/营业收入，2025达34.8%</t>
  </si>
  <si>
    <t>研发费用率</t>
  </si>
  <si>
    <t>研发费用/营业收入，核对披露31.39/17.83/8.53%</t>
  </si>
  <si>
    <t>销售费用率</t>
  </si>
  <si>
    <t>销售费用/营业收入；2025销售费用为约数(浅黄)</t>
  </si>
  <si>
    <t>研发+销售费用合计</t>
  </si>
  <si>
    <t>万元</t>
  </si>
  <si>
    <t>非经常性损益(归母-扣非)</t>
  </si>
  <si>
    <t>2025为-3.13亿，主要系股份支付费用</t>
  </si>
  <si>
    <t>经营现金流/营收(CFO含金量)</t>
  </si>
  <si>
    <t>CFO/营业收入</t>
  </si>
  <si>
    <t>经营现金流/归母净利润</t>
  </si>
  <si>
    <t>盈利现金保障倍数</t>
  </si>
  <si>
    <t>资产总额同比</t>
  </si>
  <si>
    <t>期末口径</t>
  </si>
  <si>
    <t>2025人均营业收入(万元/人)</t>
  </si>
  <si>
    <t>仅2025有年末员工数</t>
  </si>
  <si>
    <t>2026H1营收/2025全年</t>
  </si>
  <si>
    <t>半年完成去年全年比重</t>
  </si>
  <si>
    <t>单季度拆分（由期间累计数相减得到，万元）</t>
  </si>
  <si>
    <t>单季</t>
  </si>
  <si>
    <t>2025Q2</t>
  </si>
  <si>
    <t>2025Q3</t>
  </si>
  <si>
    <t>2025Q4</t>
  </si>
  <si>
    <t>2026Q2</t>
  </si>
  <si>
    <t>单季营业收入</t>
  </si>
  <si>
    <t>累计值相减</t>
  </si>
  <si>
    <t>单季归母净利润</t>
  </si>
  <si>
    <t>2025Q2亏损主因股份支付</t>
  </si>
  <si>
    <t>单季扣非归母</t>
  </si>
  <si>
    <t>IPO 发行方案、估值历程与募投项目</t>
  </si>
  <si>
    <t>一、发行上市方案</t>
  </si>
  <si>
    <t>股票简称/代码</t>
  </si>
  <si>
    <t>宇树科技 / 688836.SH</t>
  </si>
  <si>
    <t>S5/S6</t>
  </si>
  <si>
    <t>科创板，扩位简称同</t>
  </si>
  <si>
    <t>上市日期</t>
  </si>
  <si>
    <t>2026-08-19</t>
  </si>
  <si>
    <t>发行价格(元/股)</t>
  </si>
  <si>
    <t>本次公开发行数量(万股)</t>
  </si>
  <si>
    <t>占发行后总股本10.00%</t>
  </si>
  <si>
    <t>发行后总股本(万股)</t>
  </si>
  <si>
    <t>发行募资总额(亿元)</t>
  </si>
  <si>
    <t>按150.80元×4,044.6434万股</t>
  </si>
  <si>
    <t>发行募资净额(亿元)</t>
  </si>
  <si>
    <t>扣除发行费用</t>
  </si>
  <si>
    <t>发行时市值(亿元)</t>
  </si>
  <si>
    <t>发行价×发行后总股本</t>
  </si>
  <si>
    <t>发行市盈率(倍)</t>
  </si>
  <si>
    <t>媒体(待核)</t>
  </si>
  <si>
    <t>按2025归母口径，数据见媒体，需以发行公告原文核验</t>
  </si>
  <si>
    <t>上市标准</t>
  </si>
  <si>
    <t>预计市值≥100亿元(科创板规则2.1.4条第一款)</t>
  </si>
  <si>
    <t>具有表决权差异安排</t>
  </si>
  <si>
    <t>实际控制人</t>
  </si>
  <si>
    <t>王兴兴，发行后持股21.44%；上市前直接持股23.82%、合计控制68.78%表决权</t>
  </si>
  <si>
    <t>S5/S7</t>
  </si>
  <si>
    <t>同股不同权</t>
  </si>
  <si>
    <t>二、估值历程（亿元）</t>
  </si>
  <si>
    <t>时点</t>
  </si>
  <si>
    <t>投前估值</t>
  </si>
  <si>
    <t>投后/发行市值</t>
  </si>
  <si>
    <t>2025-06 Pre-IPO轮</t>
  </si>
  <si>
    <t>最近一次市场化股权融资(S2)</t>
  </si>
  <si>
    <t>2026-08 IPO发行</t>
  </si>
  <si>
    <t>发行价对应市值(S6)</t>
  </si>
  <si>
    <t>三、原拟募投项目（招股书披露，万元；实际募资60.99亿元为超募）</t>
  </si>
  <si>
    <t>拟投入(万元)</t>
  </si>
  <si>
    <t>占比</t>
  </si>
  <si>
    <t>性质</t>
  </si>
  <si>
    <t>智能机器人模型研发项目</t>
  </si>
  <si>
    <t>具身大模型(大脑/小脑)</t>
  </si>
  <si>
    <t>机器人本体研发项目</t>
  </si>
  <si>
    <t>本体与结构</t>
  </si>
  <si>
    <t>新型智能机器人产品开发项目</t>
  </si>
  <si>
    <t>新产品开发</t>
  </si>
  <si>
    <t>智能机器人制造基地建设项目</t>
  </si>
  <si>
    <t>达产规划年产能：人形7.5万台、四足11.5万台（规划，非已实现）</t>
  </si>
  <si>
    <t>合计</t>
  </si>
  <si>
    <t>原拟募资420,171.12万元(约42.02亿)；表内为约数，精确分项目金额以招股书为准(待核)</t>
  </si>
  <si>
    <t>趋势图表（原生 Excel 图表，数据源为下方公式链接区，可编辑、随原始数据更新）</t>
  </si>
  <si>
    <t>图1数据源：年度营收与扣非归母（万元）</t>
  </si>
  <si>
    <t>年份</t>
  </si>
  <si>
    <t>图2数据源：年度盈利能力与费用率（%）</t>
  </si>
  <si>
    <t>主营毛利率</t>
  </si>
  <si>
    <t>销售净利率</t>
  </si>
  <si>
    <t>扣非净利率</t>
  </si>
  <si>
    <t>图3数据源：分产品收入（万元）</t>
  </si>
  <si>
    <t>组件及其他</t>
  </si>
  <si>
    <t>图4数据源：分地区收入（万元）</t>
  </si>
  <si>
    <t>境内</t>
  </si>
  <si>
    <t>境外</t>
  </si>
  <si>
    <t>图5数据源：单季营业收入（万元，累计相减）</t>
  </si>
  <si>
    <t>季度</t>
  </si>
  <si>
    <t>2025Q1</t>
  </si>
  <si>
    <t>2026Q1</t>
  </si>
  <si>
    <t>图6数据源：人形机器人销量(台)与单价(万元/台)</t>
  </si>
  <si>
    <t>销量(台)</t>
  </si>
  <si>
    <t>平均单价</t>
  </si>
  <si>
    <t>经营与财务分析结论（结论后附数据支撑位置；截至2026-08-30）</t>
  </si>
  <si>
    <t>主题</t>
  </si>
  <si>
    <t>分析结论</t>
  </si>
  <si>
    <t>数据支撑</t>
  </si>
  <si>
    <t>1 高增长但增速换挡</t>
  </si>
  <si>
    <t>2023-2025营收1.59→3.93→16.99亿元，2年CAGR约226.8%；但增速逐期回落：2025全年+332.6%→2026Q1+68.5%→2026H1+48.5%，公司明确归因于基数抬高、行业热度缓和与竞争加剧，高增速阶段正在过去。</t>
  </si>
  <si>
    <t>02表营业收入；05表CAGR/同比；03表期间同比</t>
  </si>
  <si>
    <t>2 盈利：扣非强、归母受股份支付扰动</t>
  </si>
  <si>
    <t>2024扭亏，2025扣非归母5.91亿、扣非净利率约34.8%、主营毛利率60.1%（全栈自研、核心零部件自产支撑高毛利）；但2025归母仅2.78亿，差额-3.13亿为非经常性损失（主要是股权激励股份支付）。分析盈利质量应以扣非口径为主。</t>
  </si>
  <si>
    <t>02表归母/扣非/非经常性损益/毛利率；05表扣非净利率</t>
  </si>
  <si>
    <t>3 2026利润端承压</t>
  </si>
  <si>
    <t>2026H1营收11.52亿(+48.5%)、归母2.74亿(同比扭亏，因上年同期含3.49亿股份支付低基数)，但扣非2.44亿、同比-19.3%；2026Q1扣非-52.6%。主因研发费用(上半年同比+0.82亿)与销售费用(春晚品牌推广、销售扩编，H1销售费用1.64亿)快速扩张。</t>
  </si>
  <si>
    <t>03表实际数；05表单季拆分；04表费用</t>
  </si>
  <si>
    <t>4 产品结构切换、量增价减</t>
  </si>
  <si>
    <t>人形机器人收入由2023年296.71万(占1.88%)升至2025年8.68亿(占主营51.78%)，超过四足成为第一大产品；销量5→412→5,215台，单价59.34→26.04→16.64万元/台(G1下探至10万级)。四足仍是基本盘(6.98亿、23,037台、单价降至3.03万)。</t>
  </si>
  <si>
    <t>04表分产品/销量/单价；07图3、图6</t>
  </si>
  <si>
    <t>5 地区：境内放量、境外占比回落</t>
  </si>
  <si>
    <t>境外收入0.88→2.16→7.32亿元，占主营55.63%→55.74%→43.65%；2025境内9.44亿(56.35%)反超，主要系国内人形需求与春晚效应；海外仍为重要市场，需关注汇率与外销结算风险。</t>
  </si>
  <si>
    <t>04表分地区；07图4</t>
  </si>
  <si>
    <t>6 现金流与资产负债表</t>
  </si>
  <si>
    <t>经营现金流净额0.05→1.92→6.70亿元，2025 CFO/营收约39.4%、现金对利润覆盖充分；合并资产负债率仅18.82%、低杠杆。2026H1末总资产38.45亿(较年初+19.85%)、负债率回升至25.11%(合同负债、应付及租赁负债增加)，CFO 2.32亿同比-32.5%需跟踪。</t>
  </si>
  <si>
    <t>02表资产/权益/负债/CFO；05表现金含量；03表2026H1</t>
  </si>
  <si>
    <t>7 研发：强度下降、绝对额上升</t>
  </si>
  <si>
    <t>研发费用0.50→0.70→1.45亿元，费用率31.39%→17.83%→8.53%（规模摊薄而非缩减）；研发人员184人、占35.66%；IPO原拟募资42.02亿中约85%(35.77亿)投向模型/本体/新产品研发，战略向具身大模型倾斜。</t>
  </si>
  <si>
    <t>02表研发；06表募投；05表研发费率</t>
  </si>
  <si>
    <t>8 主要风险</t>
  </si>
  <si>
    <t>①人形机器人2025 1-9M约73.6%收入来自科研教育、行业应用仅约9%，规模化工业商业化尚早；②价格战与降价趋势压制单价/毛利；③股份支付等非经常项持续扰动表观利润；④2026费用扩张可能继续压制扣非利润；⑤发行市盈率高、估值波动大；⑥装配依赖劳务外包。</t>
  </si>
  <si>
    <t>04表应用场景；06表发行方案；02表外包费用</t>
  </si>
  <si>
    <t>9 预测与实际严格区分</t>
  </si>
  <si>
    <t>公司2026-05曾预测2026H1营收10.52-11.28亿、扣非2.36-2.83亿(预测E)；上市公告书披露实际营收11.52亿、扣非2.44亿——营收略超预测上限，扣非落在区间内。预测仅作参照，不应当作既成事实。</t>
  </si>
  <si>
    <t>03表第二、三区块</t>
  </si>
  <si>
    <t>仍需人工核验事项（底稿中以浅黄底标注者同属此类）</t>
  </si>
  <si>
    <t>序号</t>
  </si>
  <si>
    <t>待核验事项</t>
  </si>
  <si>
    <t>原因 / 建议核对位置</t>
  </si>
  <si>
    <t>当前底稿处理</t>
  </si>
  <si>
    <t>以S1招股说明书注册稿PDF原文复核全部年度数字</t>
  </si>
  <si>
    <t>本底稿年度数主要取自S2上市保荐书摘要表，应与招股书『财务会计信息』章节逐字核对</t>
  </si>
  <si>
    <t>已采用注册稿口径，差异处已备注</t>
  </si>
  <si>
    <t>2025年销售费用精确值</t>
  </si>
  <si>
    <t>媒体称约1.41亿、按披露费率8.31%反推为14,120.93万</t>
  </si>
  <si>
    <t>浅黄标注为约数</t>
  </si>
  <si>
    <t>2025年管理费用、财务费用及期间费用明细</t>
  </si>
  <si>
    <t>仅取得管理费用约3.64亿(含股份支付)的媒体口径，未取得三年完整序列</t>
  </si>
  <si>
    <t>未填列，避免编造</t>
  </si>
  <si>
    <t>2025年分产品中'机器人组件'与'其他主营'精确拆分</t>
  </si>
  <si>
    <t>仅取得组件约1.04亿，精确值需查招股书收入附注</t>
  </si>
  <si>
    <t>以轧差合并列示并备注</t>
  </si>
  <si>
    <t>2025Q1、2025H1部分数据为反推/约数</t>
  </si>
  <si>
    <t>由后续累计数与同比反推(浅黄格)，需以2025半年报/三季报原文替换</t>
  </si>
  <si>
    <t>已浅黄标注</t>
  </si>
  <si>
    <t>2026H1数据的审计状态与精确金额</t>
  </si>
  <si>
    <t>取自上市公告书转引(营收115,224.56、归母27,399.99、扣非24,393.03、CFO23,154.53)，正式半年报披露后应替换核对</t>
  </si>
  <si>
    <t>已标注未经审计</t>
  </si>
  <si>
    <t>发行市盈率219.23倍、初始流通比例7.44%</t>
  </si>
  <si>
    <t>来自媒体，需以S6发行公告/发行结果公告原文核验</t>
  </si>
  <si>
    <t>浅黄标注待核</t>
  </si>
  <si>
    <t>原拟募投四项目精确到万元的金额</t>
  </si>
  <si>
    <t>本表按20.22/11.10/4.45/6.24亿元约数填列(合计约42.02亿)</t>
  </si>
  <si>
    <t>已标注为约数</t>
  </si>
  <si>
    <t>应用场景结构为2025年1-9月(申报稿)口径</t>
  </si>
  <si>
    <t>非全年口径，且后续注册稿可能修订</t>
  </si>
  <si>
    <t>已明确标注期间与口径</t>
  </si>
  <si>
    <t>境外收入分国别/币种、汇兑损益、客户与供应商集中度</t>
  </si>
  <si>
    <t>本次未取得完整明细</t>
  </si>
  <si>
    <t>未纳入，建议补充</t>
  </si>
  <si>
    <t>二级市场股价/市值</t>
  </si>
  <si>
    <t>属资料截止日(8-30)后波动数据，本底稿仅保留发行时市值609.93亿，不纳入后续行情</t>
  </si>
  <si>
    <t>按截止日剔除</t>
  </si>
  <si>
    <t>研报转引数据(S7-S10)</t>
  </si>
  <si>
    <t>均为二手，需回溯招股书对应表格原文</t>
  </si>
  <si>
    <t>已标注来源级别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</si>
</sst>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;\(#,##0.00\);&quot;-&quot;"/>
    <numFmt numFmtId="177" formatCode="0.0%"/>
    <numFmt numFmtId="178" formatCode="#,##0;\(#,##0\);&quot;-&quot;"/>
  </numFmts>
  <fonts count="10">
    <font>
      <sz val="11"/>
      <color theme="1"/>
      <name val="宋体"/>
      <family val="2"/>
      <scheme val="minor"/>
    </font>
    <font>
      <b/>
      <sz val="13"/>
      <color rgb="FFFFFFFF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F3B5D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i/>
      <sz val="9"/>
      <color rgb="FF808080"/>
      <name val="微软雅黑"/>
      <family val="2"/>
      <charset val="134"/>
    </font>
    <font>
      <sz val="10"/>
      <color rgb="FF9C6500"/>
      <name val="微软雅黑"/>
      <family val="2"/>
      <charset val="134"/>
    </font>
    <font>
      <sz val="10"/>
      <color rgb="FF008000"/>
      <name val="微软雅黑"/>
      <family val="2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3B5D"/>
      </patternFill>
    </fill>
    <fill>
      <patternFill patternType="solid">
        <fgColor rgb="FFCFE3F1"/>
      </patternFill>
    </fill>
    <fill>
      <patternFill patternType="solid">
        <fgColor rgb="FF3288B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 style="thin">
        <color rgb="FFB8C7D9"/>
      </top>
      <bottom/>
      <diagonal/>
    </border>
    <border>
      <left/>
      <right/>
      <top style="thin">
        <color rgb="FFB8C7D9"/>
      </top>
      <bottom style="double">
        <color rgb="FF0F3B5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 wrapText="1"/>
    </xf>
    <xf numFmtId="177" fontId="3" fillId="0" borderId="0" xfId="0" applyNumberFormat="1" applyFont="1" applyAlignment="1">
      <alignment horizontal="right" vertical="center"/>
    </xf>
    <xf numFmtId="2" fontId="3" fillId="0" borderId="0" xfId="0" applyNumberFormat="1" applyFont="1" applyAlignment="1">
      <alignment horizontal="right" vertical="center"/>
    </xf>
    <xf numFmtId="176" fontId="7" fillId="5" borderId="0" xfId="0" applyNumberFormat="1" applyFont="1" applyFill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76" fontId="3" fillId="5" borderId="0" xfId="0" applyNumberFormat="1" applyFont="1" applyFill="1" applyAlignment="1">
      <alignment horizontal="right" vertical="center"/>
    </xf>
    <xf numFmtId="177" fontId="3" fillId="5" borderId="0" xfId="0" applyNumberFormat="1" applyFont="1" applyFill="1" applyAlignment="1">
      <alignment horizontal="right" vertical="center"/>
    </xf>
    <xf numFmtId="176" fontId="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right" vertical="center"/>
    </xf>
    <xf numFmtId="177" fontId="8" fillId="0" borderId="0" xfId="0" applyNumberFormat="1" applyFont="1" applyAlignment="1">
      <alignment horizontal="right" vertical="center"/>
    </xf>
    <xf numFmtId="2" fontId="8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horizontal="left" vertical="center" wrapText="1"/>
    </xf>
    <xf numFmtId="178" fontId="2" fillId="0" borderId="2" xfId="0" applyNumberFormat="1" applyFont="1" applyBorder="1" applyAlignment="1">
      <alignment horizontal="right" vertical="center"/>
    </xf>
    <xf numFmtId="177" fontId="2" fillId="0" borderId="2" xfId="0" applyNumberFormat="1" applyFont="1" applyBorder="1" applyAlignment="1">
      <alignment horizontal="right" vertical="center"/>
    </xf>
    <xf numFmtId="0" fontId="2" fillId="3" borderId="0" xfId="0" applyFont="1" applyFill="1" applyAlignment="1">
      <alignment horizontal="center" vertical="center" wrapText="1"/>
    </xf>
    <xf numFmtId="178" fontId="8" fillId="0" borderId="0" xfId="0" applyNumberFormat="1" applyFont="1" applyAlignment="1">
      <alignment horizontal="right" vertical="center"/>
    </xf>
    <xf numFmtId="2" fontId="0" fillId="0" borderId="0" xfId="0" applyNumberFormat="1"/>
    <xf numFmtId="0" fontId="4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7" fillId="5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5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5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图1 营业收入与扣非归母净利润（2023-2025，万元）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'07_趋势图表'!$C$4</c:f>
              <c:strCache>
                <c:ptCount val="1"/>
                <c:pt idx="0">
                  <c:v>营业收入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'07_趋势图表'!$B$5:$B$7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'07_趋势图表'!$C$5:$C$7</c:f>
              <c:numCache>
                <c:formatCode>#,##0.00;\(#,##0.00\);"-"</c:formatCode>
                <c:ptCount val="3"/>
                <c:pt idx="0">
                  <c:v>15913.44</c:v>
                </c:pt>
                <c:pt idx="1">
                  <c:v>39277.07</c:v>
                </c:pt>
                <c:pt idx="2">
                  <c:v>169926.93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2-2A4F-8499-02E7B351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'07_趋势图表'!$D$4</c:f>
              <c:strCache>
                <c:ptCount val="1"/>
                <c:pt idx="0">
                  <c:v>扣非归母净利润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'07_趋势图表'!$D$5:$D$7</c:f>
              <c:numCache>
                <c:formatCode>#,##0.00;\(#,##0.00\);"-"</c:formatCode>
                <c:ptCount val="3"/>
                <c:pt idx="0">
                  <c:v>-1801.91</c:v>
                </c:pt>
                <c:pt idx="1">
                  <c:v>7847.65</c:v>
                </c:pt>
                <c:pt idx="2">
                  <c:v>59075.28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0A2-2A4F-8499-02E7B351A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万元</a:t>
                </a:r>
              </a:p>
            </c:rich>
          </c:tx>
          <c:overlay val="1"/>
        </c:title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numFmt formatCode="#,##0.00;\(#,##0.00\);&quot;-&quot;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图2 毛利率/净利率/研发费用率趋势（%）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'07_趋势图表'!$C$10</c:f>
              <c:strCache>
                <c:ptCount val="1"/>
                <c:pt idx="0">
                  <c:v>主营毛利率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'07_趋势图表'!$B$11:$B$13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'07_趋势图表'!$C$11:$C$13</c:f>
              <c:numCache>
                <c:formatCode>0.0%</c:formatCode>
                <c:ptCount val="3"/>
                <c:pt idx="0">
                  <c:v>0.44219999999999998</c:v>
                </c:pt>
                <c:pt idx="1">
                  <c:v>0.56740000000000002</c:v>
                </c:pt>
                <c:pt idx="2">
                  <c:v>0.60129999999999995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0A-5A47-BF9C-74DC2AEBB1B3}"/>
            </c:ext>
          </c:extLst>
        </c:ser>
        <c:ser>
          <c:idx val="1"/>
          <c:order val="1"/>
          <c:tx>
            <c:strRef>
              <c:f>'07_趋势图表'!$D$10</c:f>
              <c:strCache>
                <c:ptCount val="1"/>
                <c:pt idx="0">
                  <c:v>销售净利率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'07_趋势图表'!$B$11:$B$13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'07_趋势图表'!$D$11:$D$13</c:f>
              <c:numCache>
                <c:formatCode>0.0%</c:formatCode>
                <c:ptCount val="3"/>
                <c:pt idx="0">
                  <c:v>-7.0035768507626259E-2</c:v>
                </c:pt>
                <c:pt idx="1">
                  <c:v>0.24307999552919807</c:v>
                </c:pt>
                <c:pt idx="2">
                  <c:v>0.16372360755296408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0A-5A47-BF9C-74DC2AEBB1B3}"/>
            </c:ext>
          </c:extLst>
        </c:ser>
        <c:ser>
          <c:idx val="2"/>
          <c:order val="2"/>
          <c:tx>
            <c:strRef>
              <c:f>'07_趋势图表'!$E$10</c:f>
              <c:strCache>
                <c:ptCount val="1"/>
                <c:pt idx="0">
                  <c:v>扣非净利率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'07_趋势图表'!$B$11:$B$13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'07_趋势图表'!$E$11:$E$13</c:f>
              <c:numCache>
                <c:formatCode>0.0%</c:formatCode>
                <c:ptCount val="3"/>
                <c:pt idx="0">
                  <c:v>-0.11323195990307564</c:v>
                </c:pt>
                <c:pt idx="1">
                  <c:v>0.19980232741393386</c:v>
                </c:pt>
                <c:pt idx="2">
                  <c:v>0.34765107567117232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0A-5A47-BF9C-74DC2AEBB1B3}"/>
            </c:ext>
          </c:extLst>
        </c:ser>
        <c:ser>
          <c:idx val="3"/>
          <c:order val="3"/>
          <c:tx>
            <c:strRef>
              <c:f>'07_趋势图表'!$F$10</c:f>
              <c:strCache>
                <c:ptCount val="1"/>
                <c:pt idx="0">
                  <c:v>研发费用率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'07_趋势图表'!$B$11:$B$13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'07_趋势图表'!$F$11:$F$13</c:f>
              <c:numCache>
                <c:formatCode>0.0%</c:formatCode>
                <c:ptCount val="3"/>
                <c:pt idx="0">
                  <c:v>0.31389693240430733</c:v>
                </c:pt>
                <c:pt idx="1">
                  <c:v>0.17826431554084865</c:v>
                </c:pt>
                <c:pt idx="2">
                  <c:v>8.531055083499714E-2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0A-5A47-BF9C-74DC2AEBB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%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图3 主营业务收入产品结构（万元，堆叠）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'07_趋势图表'!$C$16</c:f>
              <c:strCache>
                <c:ptCount val="1"/>
                <c:pt idx="0">
                  <c:v>人形机器人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'07_趋势图表'!$B$17:$B$19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'07_趋势图表'!$C$17:$C$19</c:f>
              <c:numCache>
                <c:formatCode>#,##0.00;\(#,##0.00\);"-"</c:formatCode>
                <c:ptCount val="3"/>
                <c:pt idx="0">
                  <c:v>296.70999999999998</c:v>
                </c:pt>
                <c:pt idx="1">
                  <c:v>10689.76</c:v>
                </c:pt>
                <c:pt idx="2">
                  <c:v>86783.19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8-4548-8030-DCDFE2B563BB}"/>
            </c:ext>
          </c:extLst>
        </c:ser>
        <c:ser>
          <c:idx val="1"/>
          <c:order val="1"/>
          <c:tx>
            <c:strRef>
              <c:f>'07_趋势图表'!$D$16</c:f>
              <c:strCache>
                <c:ptCount val="1"/>
                <c:pt idx="0">
                  <c:v>四足机器人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'07_趋势图表'!$B$17:$B$19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'07_趋势图表'!$D$17:$D$19</c:f>
              <c:numCache>
                <c:formatCode>#,##0.00;\(#,##0.00\);"-"</c:formatCode>
                <c:ptCount val="3"/>
                <c:pt idx="0">
                  <c:v>11938.09</c:v>
                </c:pt>
                <c:pt idx="1">
                  <c:v>23054.37</c:v>
                </c:pt>
                <c:pt idx="2">
                  <c:v>69762.559999999998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18-4548-8030-DCDFE2B563BB}"/>
            </c:ext>
          </c:extLst>
        </c:ser>
        <c:ser>
          <c:idx val="2"/>
          <c:order val="2"/>
          <c:tx>
            <c:strRef>
              <c:f>'07_趋势图表'!$E$16</c:f>
              <c:strCache>
                <c:ptCount val="1"/>
                <c:pt idx="0">
                  <c:v>组件及其他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'07_趋势图表'!$B$17:$B$19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'07_趋势图表'!$E$17:$E$19</c:f>
              <c:numCache>
                <c:formatCode>#,##0.00;\(#,##0.00\);"-"</c:formatCode>
                <c:ptCount val="3"/>
                <c:pt idx="0">
                  <c:v>3518.8500000000004</c:v>
                </c:pt>
                <c:pt idx="1">
                  <c:v>4983.1499999999996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18-4548-8030-DCDFE2B56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万元</a:t>
                </a:r>
              </a:p>
            </c:rich>
          </c:tx>
          <c:overlay val="1"/>
        </c:title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图4 主营业务收入地区结构（万元，堆叠）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'07_趋势图表'!$C$22</c:f>
              <c:strCache>
                <c:ptCount val="1"/>
                <c:pt idx="0">
                  <c:v>境内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'07_趋势图表'!$B$23:$B$25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'07_趋势图表'!$C$23:$C$25</c:f>
              <c:numCache>
                <c:formatCode>#,##0.00;\(#,##0.00\);"-"</c:formatCode>
                <c:ptCount val="3"/>
                <c:pt idx="0">
                  <c:v>6989.41</c:v>
                </c:pt>
                <c:pt idx="1">
                  <c:v>17116.54</c:v>
                </c:pt>
                <c:pt idx="2">
                  <c:v>94445.56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A-D646-9F99-355CABAE0EEE}"/>
            </c:ext>
          </c:extLst>
        </c:ser>
        <c:ser>
          <c:idx val="1"/>
          <c:order val="1"/>
          <c:tx>
            <c:strRef>
              <c:f>'07_趋势图表'!$D$22</c:f>
              <c:strCache>
                <c:ptCount val="1"/>
                <c:pt idx="0">
                  <c:v>境外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'07_趋势图表'!$B$23:$B$25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'07_趋势图表'!$D$23:$D$25</c:f>
              <c:numCache>
                <c:formatCode>#,##0.00;\(#,##0.00\);"-"</c:formatCode>
                <c:ptCount val="3"/>
                <c:pt idx="0">
                  <c:v>8764.24</c:v>
                </c:pt>
                <c:pt idx="1">
                  <c:v>21610.74</c:v>
                </c:pt>
                <c:pt idx="2">
                  <c:v>73165.53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3A-D646-9F99-355CABAE0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万元</a:t>
                </a:r>
              </a:p>
            </c:rich>
          </c:tx>
          <c:overlay val="1"/>
        </c:title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图5 单季营业收入（万元）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'07_趋势图表'!$C$28</c:f>
              <c:strCache>
                <c:ptCount val="1"/>
                <c:pt idx="0">
                  <c:v>营业收入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'07_趋势图表'!$B$29:$B$34</c:f>
              <c:strCache>
                <c:ptCount val="6"/>
                <c:pt idx="0">
                  <c:v>2025Q1</c:v>
                </c:pt>
                <c:pt idx="1">
                  <c:v>2025Q2</c:v>
                </c:pt>
                <c:pt idx="2">
                  <c:v>2025Q3</c:v>
                </c:pt>
                <c:pt idx="3">
                  <c:v>2025Q4</c:v>
                </c:pt>
                <c:pt idx="4">
                  <c:v>2026Q1</c:v>
                </c:pt>
                <c:pt idx="5">
                  <c:v>2026Q2</c:v>
                </c:pt>
              </c:strCache>
            </c:strRef>
          </c:cat>
          <c:val>
            <c:numRef>
              <c:f>'07_趋势图表'!$C$29:$C$34</c:f>
              <c:numCache>
                <c:formatCode>#,##0.00;\(#,##0.00\);"-"</c:formatCode>
                <c:ptCount val="6"/>
                <c:pt idx="0">
                  <c:v>25095.9</c:v>
                </c:pt>
                <c:pt idx="1">
                  <c:v>52475.499999999993</c:v>
                </c:pt>
                <c:pt idx="2">
                  <c:v>39177.61</c:v>
                </c:pt>
                <c:pt idx="3">
                  <c:v>53177.919999999998</c:v>
                </c:pt>
                <c:pt idx="4">
                  <c:v>42284.05</c:v>
                </c:pt>
                <c:pt idx="5">
                  <c:v>72940.509999999995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8F-4142-9218-350F41B0B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季度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万元</a:t>
                </a:r>
              </a:p>
            </c:rich>
          </c:tx>
          <c:overlay val="1"/>
        </c:title>
        <c:numFmt formatCode="#,##0.00;\(#,##0.0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t>图6 人形机器人销量(台)与平均单价(万元/台)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'07_趋势图表'!$C$37</c:f>
              <c:strCache>
                <c:ptCount val="1"/>
                <c:pt idx="0">
                  <c:v>销量(台)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'07_趋势图表'!$B$38:$B$40</c:f>
              <c:strCache>
                <c:ptCount val="3"/>
                <c:pt idx="0">
                  <c:v>2023A</c:v>
                </c:pt>
                <c:pt idx="1">
                  <c:v>2024A</c:v>
                </c:pt>
                <c:pt idx="2">
                  <c:v>2025A</c:v>
                </c:pt>
              </c:strCache>
            </c:strRef>
          </c:cat>
          <c:val>
            <c:numRef>
              <c:f>'07_趋势图表'!$C$38:$C$40</c:f>
              <c:numCache>
                <c:formatCode>#,##0;\(#,##0\);"-"</c:formatCode>
                <c:ptCount val="3"/>
                <c:pt idx="0">
                  <c:v>5</c:v>
                </c:pt>
                <c:pt idx="1">
                  <c:v>412</c:v>
                </c:pt>
                <c:pt idx="2">
                  <c:v>5215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6C-0F46-B061-DC7D10184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'07_趋势图表'!$D$37</c:f>
              <c:strCache>
                <c:ptCount val="1"/>
                <c:pt idx="0">
                  <c:v>平均单价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'07_趋势图表'!$D$38:$D$40</c:f>
              <c:numCache>
                <c:formatCode>#,##0;\(#,##0\);"-"</c:formatCode>
                <c:ptCount val="3"/>
                <c:pt idx="0">
                  <c:v>59.341999999999999</c:v>
                </c:pt>
                <c:pt idx="1">
                  <c:v>25.946019417475728</c:v>
                </c:pt>
                <c:pt idx="2">
                  <c:v>16.641071907957816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D6C-0F46-B061-DC7D10184D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1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年度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销量(台)</a:t>
                </a:r>
              </a:p>
            </c:rich>
          </c:tx>
          <c:overlay val="1"/>
        </c:title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10"/>
        <c:scaling>
          <c:orientation val="minMax"/>
        </c:scaling>
        <c:delete val="1"/>
        <c:axPos val="r"/>
        <c:majorGridlines/>
        <c:numFmt formatCode="#,##0;\(#,##0\);&quot;-&quot;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4140000" cy="2592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18</xdr:col>
      <xdr:colOff>0</xdr:colOff>
      <xdr:row>2</xdr:row>
      <xdr:rowOff>0</xdr:rowOff>
    </xdr:from>
    <xdr:ext cx="4140000" cy="2592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0</xdr:colOff>
      <xdr:row>18</xdr:row>
      <xdr:rowOff>0</xdr:rowOff>
    </xdr:from>
    <xdr:ext cx="4140000" cy="2592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18</xdr:col>
      <xdr:colOff>0</xdr:colOff>
      <xdr:row>18</xdr:row>
      <xdr:rowOff>0</xdr:rowOff>
    </xdr:from>
    <xdr:ext cx="4140000" cy="2592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7</xdr:col>
      <xdr:colOff>0</xdr:colOff>
      <xdr:row>34</xdr:row>
      <xdr:rowOff>0</xdr:rowOff>
    </xdr:from>
    <xdr:ext cx="4140000" cy="2592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18</xdr:col>
      <xdr:colOff>0</xdr:colOff>
      <xdr:row>34</xdr:row>
      <xdr:rowOff>0</xdr:rowOff>
    </xdr:from>
    <xdr:ext cx="4140000" cy="2592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3"/>
  <sheetViews>
    <sheetView showGridLines="0" tabSelected="1" workbookViewId="0"/>
  </sheetViews>
  <sheetFormatPr baseColWidth="10" defaultColWidth="8.83203125" defaultRowHeight="14"/>
  <cols>
    <col min="1" max="1" width="2" customWidth="1"/>
    <col min="2" max="2" width="26" customWidth="1"/>
    <col min="3" max="3" width="70" customWidth="1"/>
    <col min="4" max="4" width="16" customWidth="1"/>
  </cols>
  <sheetData>
    <row r="1" spans="2:4" ht="24" customHeight="1">
      <c r="B1" s="29" t="s">
        <v>0</v>
      </c>
      <c r="C1" s="29"/>
      <c r="D1" s="29"/>
    </row>
    <row r="2" spans="2:4" ht="16">
      <c r="B2" s="1" t="s">
        <v>1</v>
      </c>
      <c r="C2" s="2" t="s">
        <v>2</v>
      </c>
    </row>
    <row r="3" spans="2:4" ht="16">
      <c r="B3" s="1" t="s">
        <v>3</v>
      </c>
      <c r="C3" s="2" t="s">
        <v>4</v>
      </c>
    </row>
    <row r="4" spans="2:4" ht="16">
      <c r="B4" s="1" t="s">
        <v>5</v>
      </c>
      <c r="C4" s="2" t="s">
        <v>6</v>
      </c>
    </row>
    <row r="6" spans="2:4" ht="16">
      <c r="B6" s="28" t="s">
        <v>7</v>
      </c>
      <c r="C6" s="28"/>
      <c r="D6" s="28"/>
    </row>
    <row r="7" spans="2:4" ht="30" customHeight="1">
      <c r="B7" s="3" t="s">
        <v>8</v>
      </c>
      <c r="C7" s="4" t="s">
        <v>9</v>
      </c>
    </row>
    <row r="8" spans="2:4" ht="30" customHeight="1">
      <c r="B8" s="3" t="s">
        <v>10</v>
      </c>
      <c r="C8" s="4" t="s">
        <v>11</v>
      </c>
    </row>
    <row r="9" spans="2:4" ht="30" customHeight="1">
      <c r="B9" s="3" t="s">
        <v>12</v>
      </c>
      <c r="C9" s="4" t="s">
        <v>13</v>
      </c>
    </row>
    <row r="10" spans="2:4" ht="30" customHeight="1">
      <c r="B10" s="3" t="s">
        <v>14</v>
      </c>
      <c r="C10" s="4" t="s">
        <v>15</v>
      </c>
    </row>
    <row r="11" spans="2:4" ht="30" customHeight="1">
      <c r="B11" s="3" t="s">
        <v>16</v>
      </c>
      <c r="C11" s="4" t="s">
        <v>17</v>
      </c>
    </row>
    <row r="12" spans="2:4" ht="30" customHeight="1">
      <c r="B12" s="3" t="s">
        <v>18</v>
      </c>
      <c r="C12" s="4" t="s">
        <v>19</v>
      </c>
    </row>
    <row r="13" spans="2:4" ht="30" customHeight="1">
      <c r="B13" s="3" t="s">
        <v>20</v>
      </c>
      <c r="C13" s="4" t="s">
        <v>21</v>
      </c>
    </row>
    <row r="14" spans="2:4" ht="30" customHeight="1">
      <c r="B14" s="3" t="s">
        <v>22</v>
      </c>
      <c r="C14" s="4" t="s">
        <v>23</v>
      </c>
    </row>
    <row r="15" spans="2:4" ht="30" customHeight="1">
      <c r="B15" s="3" t="s">
        <v>24</v>
      </c>
      <c r="C15" s="4" t="s">
        <v>25</v>
      </c>
    </row>
    <row r="16" spans="2:4" ht="16">
      <c r="B16" s="28" t="s">
        <v>26</v>
      </c>
      <c r="C16" s="28"/>
      <c r="D16" s="28"/>
    </row>
    <row r="17" spans="2:3" ht="30" customHeight="1">
      <c r="B17" s="3" t="s">
        <v>27</v>
      </c>
      <c r="C17" s="4" t="s">
        <v>28</v>
      </c>
    </row>
    <row r="18" spans="2:3" ht="30" customHeight="1">
      <c r="B18" s="3" t="s">
        <v>29</v>
      </c>
      <c r="C18" s="4" t="s">
        <v>30</v>
      </c>
    </row>
    <row r="19" spans="2:3" ht="30" customHeight="1">
      <c r="B19" s="3" t="s">
        <v>31</v>
      </c>
      <c r="C19" s="4" t="s">
        <v>32</v>
      </c>
    </row>
    <row r="20" spans="2:3" ht="30" customHeight="1">
      <c r="B20" s="3" t="s">
        <v>33</v>
      </c>
      <c r="C20" s="4" t="s">
        <v>34</v>
      </c>
    </row>
    <row r="21" spans="2:3" ht="30" customHeight="1">
      <c r="B21" s="3" t="s">
        <v>35</v>
      </c>
      <c r="C21" s="4" t="s">
        <v>36</v>
      </c>
    </row>
    <row r="22" spans="2:3" ht="30" customHeight="1">
      <c r="B22" s="3" t="s">
        <v>37</v>
      </c>
      <c r="C22" s="4" t="s">
        <v>38</v>
      </c>
    </row>
    <row r="23" spans="2:3" ht="30" customHeight="1">
      <c r="B23" s="3" t="s">
        <v>39</v>
      </c>
      <c r="C23" s="4" t="s">
        <v>40</v>
      </c>
    </row>
  </sheetData>
  <mergeCells count="3">
    <mergeCell ref="B6:D6"/>
    <mergeCell ref="B1:D1"/>
    <mergeCell ref="B16:D16"/>
  </mergeCells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6"/>
  <sheetViews>
    <sheetView showGridLines="0" workbookViewId="0"/>
  </sheetViews>
  <sheetFormatPr baseColWidth="10" defaultColWidth="8.83203125" defaultRowHeight="14"/>
  <cols>
    <col min="1" max="1" width="2" customWidth="1"/>
    <col min="2" max="2" width="8" customWidth="1"/>
    <col min="3" max="3" width="34" customWidth="1"/>
    <col min="4" max="4" width="16" customWidth="1"/>
    <col min="5" max="5" width="12" customWidth="1"/>
    <col min="6" max="6" width="15" customWidth="1"/>
    <col min="7" max="7" width="62" customWidth="1"/>
    <col min="8" max="8" width="26" customWidth="1"/>
  </cols>
  <sheetData>
    <row r="1" spans="2:8" ht="24" customHeight="1">
      <c r="B1" s="29" t="s">
        <v>41</v>
      </c>
      <c r="C1" s="29"/>
      <c r="D1" s="29"/>
      <c r="E1" s="29"/>
      <c r="F1" s="29"/>
      <c r="G1" s="29"/>
      <c r="H1" s="29"/>
    </row>
    <row r="3" spans="2:8" ht="17">
      <c r="B3" s="5" t="s">
        <v>42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  <c r="H3" s="5" t="s">
        <v>48</v>
      </c>
    </row>
    <row r="4" spans="2:8" ht="42" customHeight="1">
      <c r="B4" s="6" t="s">
        <v>49</v>
      </c>
      <c r="C4" s="4" t="s">
        <v>50</v>
      </c>
      <c r="D4" s="4" t="s">
        <v>51</v>
      </c>
      <c r="E4" s="4" t="s">
        <v>52</v>
      </c>
      <c r="F4" s="4" t="s">
        <v>53</v>
      </c>
      <c r="G4" s="4" t="s">
        <v>54</v>
      </c>
      <c r="H4" s="4" t="s">
        <v>55</v>
      </c>
    </row>
    <row r="5" spans="2:8" ht="42" customHeight="1">
      <c r="B5" s="6" t="s">
        <v>56</v>
      </c>
      <c r="C5" s="4" t="s">
        <v>57</v>
      </c>
      <c r="D5" s="4" t="s">
        <v>58</v>
      </c>
      <c r="E5" s="4" t="s">
        <v>52</v>
      </c>
      <c r="F5" s="4" t="s">
        <v>53</v>
      </c>
      <c r="G5" s="4" t="s">
        <v>59</v>
      </c>
      <c r="H5" s="4" t="s">
        <v>60</v>
      </c>
    </row>
    <row r="6" spans="2:8" ht="42" customHeight="1">
      <c r="B6" s="6" t="s">
        <v>61</v>
      </c>
      <c r="C6" s="4" t="s">
        <v>62</v>
      </c>
      <c r="D6" s="4" t="s">
        <v>63</v>
      </c>
      <c r="E6" s="4" t="s">
        <v>52</v>
      </c>
      <c r="F6" s="4" t="s">
        <v>64</v>
      </c>
      <c r="G6" s="4" t="s">
        <v>65</v>
      </c>
      <c r="H6" s="4" t="s">
        <v>66</v>
      </c>
    </row>
    <row r="7" spans="2:8" ht="42" customHeight="1">
      <c r="B7" s="6" t="s">
        <v>67</v>
      </c>
      <c r="C7" s="4" t="s">
        <v>68</v>
      </c>
      <c r="D7" s="4" t="s">
        <v>69</v>
      </c>
      <c r="E7" s="4" t="s">
        <v>70</v>
      </c>
      <c r="F7" s="4" t="s">
        <v>71</v>
      </c>
      <c r="G7" s="4" t="s">
        <v>72</v>
      </c>
      <c r="H7" s="4" t="s">
        <v>73</v>
      </c>
    </row>
    <row r="8" spans="2:8" ht="42" customHeight="1">
      <c r="B8" s="6" t="s">
        <v>74</v>
      </c>
      <c r="C8" s="4" t="s">
        <v>75</v>
      </c>
      <c r="D8" s="4" t="s">
        <v>76</v>
      </c>
      <c r="E8" s="4" t="s">
        <v>52</v>
      </c>
      <c r="F8" s="4" t="s">
        <v>77</v>
      </c>
      <c r="G8" s="4" t="s">
        <v>78</v>
      </c>
      <c r="H8" s="4" t="s">
        <v>79</v>
      </c>
    </row>
    <row r="9" spans="2:8" ht="42" customHeight="1">
      <c r="B9" s="6" t="s">
        <v>80</v>
      </c>
      <c r="C9" s="4" t="s">
        <v>81</v>
      </c>
      <c r="D9" s="4" t="s">
        <v>82</v>
      </c>
      <c r="E9" s="4" t="s">
        <v>70</v>
      </c>
      <c r="F9" s="4" t="s">
        <v>83</v>
      </c>
      <c r="G9" s="4" t="s">
        <v>84</v>
      </c>
      <c r="H9" s="4" t="s">
        <v>85</v>
      </c>
    </row>
    <row r="10" spans="2:8" ht="42" customHeight="1">
      <c r="B10" s="6" t="s">
        <v>86</v>
      </c>
      <c r="C10" s="4" t="s">
        <v>87</v>
      </c>
      <c r="D10" s="4" t="s">
        <v>88</v>
      </c>
      <c r="E10" s="4" t="s">
        <v>89</v>
      </c>
      <c r="F10" s="4" t="s">
        <v>90</v>
      </c>
      <c r="G10" s="4" t="s">
        <v>91</v>
      </c>
      <c r="H10" s="4" t="s">
        <v>92</v>
      </c>
    </row>
    <row r="11" spans="2:8" ht="42" customHeight="1">
      <c r="B11" s="6" t="s">
        <v>93</v>
      </c>
      <c r="C11" s="4" t="s">
        <v>94</v>
      </c>
      <c r="D11" s="4" t="s">
        <v>95</v>
      </c>
      <c r="E11" s="4" t="s">
        <v>89</v>
      </c>
      <c r="F11" s="4" t="s">
        <v>96</v>
      </c>
      <c r="G11" s="4" t="s">
        <v>97</v>
      </c>
      <c r="H11" s="4" t="s">
        <v>98</v>
      </c>
    </row>
    <row r="12" spans="2:8" ht="42" customHeight="1">
      <c r="B12" s="6" t="s">
        <v>99</v>
      </c>
      <c r="C12" s="4" t="s">
        <v>100</v>
      </c>
      <c r="D12" s="4" t="s">
        <v>101</v>
      </c>
      <c r="E12" s="4" t="s">
        <v>89</v>
      </c>
      <c r="F12" s="4" t="s">
        <v>102</v>
      </c>
      <c r="G12" s="4" t="s">
        <v>97</v>
      </c>
      <c r="H12" s="4" t="s">
        <v>103</v>
      </c>
    </row>
    <row r="13" spans="2:8" ht="42" customHeight="1">
      <c r="B13" s="6" t="s">
        <v>104</v>
      </c>
      <c r="C13" s="4" t="s">
        <v>105</v>
      </c>
      <c r="D13" s="4" t="s">
        <v>106</v>
      </c>
      <c r="E13" s="4" t="s">
        <v>107</v>
      </c>
      <c r="F13" s="4" t="s">
        <v>108</v>
      </c>
      <c r="G13" s="4" t="s">
        <v>109</v>
      </c>
      <c r="H13" s="4" t="s">
        <v>110</v>
      </c>
    </row>
    <row r="14" spans="2:8" ht="42" customHeight="1">
      <c r="B14" s="6" t="s">
        <v>111</v>
      </c>
      <c r="C14" s="4" t="s">
        <v>112</v>
      </c>
      <c r="D14" s="4" t="s">
        <v>113</v>
      </c>
      <c r="E14" s="4" t="s">
        <v>114</v>
      </c>
      <c r="F14" s="4" t="s">
        <v>115</v>
      </c>
      <c r="G14" s="4" t="s">
        <v>116</v>
      </c>
      <c r="H14" s="4" t="s">
        <v>117</v>
      </c>
    </row>
    <row r="16" spans="2:8" ht="195">
      <c r="B16" s="7" t="s">
        <v>118</v>
      </c>
    </row>
  </sheetData>
  <mergeCells count="1">
    <mergeCell ref="B1:H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8"/>
  <sheetViews>
    <sheetView showGridLines="0" workbookViewId="0">
      <pane xSplit="2" ySplit="3" topLeftCell="C4" activePane="bottomRight" state="frozen"/>
      <selection pane="topRight"/>
      <selection pane="bottomLeft"/>
      <selection pane="bottomRight"/>
    </sheetView>
  </sheetViews>
  <sheetFormatPr baseColWidth="10" defaultColWidth="8.83203125" defaultRowHeight="14"/>
  <cols>
    <col min="1" max="1" width="2" customWidth="1"/>
    <col min="2" max="2" width="34" customWidth="1"/>
    <col min="3" max="5" width="14" customWidth="1"/>
    <col min="6" max="6" width="9" customWidth="1"/>
    <col min="7" max="7" width="40" customWidth="1"/>
  </cols>
  <sheetData>
    <row r="1" spans="2:7" ht="24" customHeight="1">
      <c r="B1" s="29" t="s">
        <v>119</v>
      </c>
      <c r="C1" s="29"/>
      <c r="D1" s="29"/>
      <c r="E1" s="29"/>
      <c r="F1" s="29"/>
      <c r="G1" s="29"/>
    </row>
    <row r="2" spans="2:7" ht="15">
      <c r="B2" s="7" t="s">
        <v>120</v>
      </c>
    </row>
    <row r="3" spans="2:7" ht="17">
      <c r="B3" s="5" t="s">
        <v>121</v>
      </c>
      <c r="C3" s="5" t="s">
        <v>122</v>
      </c>
      <c r="D3" s="5" t="s">
        <v>123</v>
      </c>
      <c r="E3" s="5" t="s">
        <v>124</v>
      </c>
      <c r="F3" s="5" t="s">
        <v>125</v>
      </c>
      <c r="G3" s="5" t="s">
        <v>126</v>
      </c>
    </row>
    <row r="4" spans="2:7" ht="16">
      <c r="B4" s="28" t="s">
        <v>127</v>
      </c>
      <c r="C4" s="28"/>
      <c r="D4" s="28"/>
      <c r="E4" s="28"/>
      <c r="F4" s="28"/>
      <c r="G4" s="28"/>
    </row>
    <row r="5" spans="2:7" ht="17">
      <c r="B5" s="4" t="s">
        <v>128</v>
      </c>
      <c r="C5" s="8">
        <v>15913.44</v>
      </c>
      <c r="D5" s="8">
        <v>39277.07</v>
      </c>
      <c r="E5" s="8">
        <v>169926.93</v>
      </c>
      <c r="F5" s="9" t="s">
        <v>56</v>
      </c>
      <c r="G5" s="7" t="s">
        <v>129</v>
      </c>
    </row>
    <row r="6" spans="2:7" ht="17">
      <c r="B6" s="4" t="s">
        <v>130</v>
      </c>
      <c r="C6" s="8">
        <v>15753.65</v>
      </c>
      <c r="D6" s="8">
        <v>38727.279999999999</v>
      </c>
      <c r="E6" s="8">
        <v>167611.09</v>
      </c>
      <c r="F6" s="9" t="s">
        <v>131</v>
      </c>
      <c r="G6" s="7" t="s">
        <v>132</v>
      </c>
    </row>
    <row r="7" spans="2:7" ht="17">
      <c r="B7" s="4" t="s">
        <v>133</v>
      </c>
      <c r="C7" s="8">
        <f>C5-C6</f>
        <v>159.79000000000087</v>
      </c>
      <c r="D7" s="8">
        <f>D5-D6</f>
        <v>549.79000000000087</v>
      </c>
      <c r="E7" s="8">
        <f>E5-E6</f>
        <v>2315.8399999999965</v>
      </c>
      <c r="F7" s="9" t="s">
        <v>134</v>
      </c>
      <c r="G7" s="7" t="e">
        <f>营业收入-主营业务收入</f>
        <v>#NAME?</v>
      </c>
    </row>
    <row r="8" spans="2:7" ht="16">
      <c r="B8" s="28" t="s">
        <v>135</v>
      </c>
      <c r="C8" s="28"/>
      <c r="D8" s="28"/>
      <c r="E8" s="28"/>
      <c r="F8" s="28"/>
      <c r="G8" s="28"/>
    </row>
    <row r="9" spans="2:7" ht="17">
      <c r="B9" s="4" t="s">
        <v>136</v>
      </c>
      <c r="C9" s="8">
        <v>-1114.51</v>
      </c>
      <c r="D9" s="8">
        <v>9547.4699999999993</v>
      </c>
      <c r="E9" s="8">
        <v>27821.05</v>
      </c>
      <c r="F9" s="9" t="s">
        <v>56</v>
      </c>
      <c r="G9" s="7" t="s">
        <v>137</v>
      </c>
    </row>
    <row r="10" spans="2:7" ht="30">
      <c r="B10" s="4" t="s">
        <v>138</v>
      </c>
      <c r="C10" s="8">
        <v>-1801.91</v>
      </c>
      <c r="D10" s="8">
        <v>7847.65</v>
      </c>
      <c r="E10" s="8">
        <v>59075.28</v>
      </c>
      <c r="F10" s="9" t="s">
        <v>56</v>
      </c>
      <c r="G10" s="7" t="s">
        <v>139</v>
      </c>
    </row>
    <row r="11" spans="2:7" ht="17">
      <c r="B11" s="4" t="s">
        <v>140</v>
      </c>
      <c r="C11" s="8">
        <f>C9-C10</f>
        <v>687.40000000000009</v>
      </c>
      <c r="D11" s="8">
        <f>D9-D10</f>
        <v>1699.8199999999997</v>
      </c>
      <c r="E11" s="8">
        <f>E9-E10</f>
        <v>-31254.23</v>
      </c>
      <c r="F11" s="9" t="s">
        <v>134</v>
      </c>
      <c r="G11" s="7"/>
    </row>
    <row r="12" spans="2:7" ht="17">
      <c r="B12" s="4" t="s">
        <v>141</v>
      </c>
      <c r="C12" s="10">
        <v>0.44219999999999998</v>
      </c>
      <c r="D12" s="10">
        <v>0.56740000000000002</v>
      </c>
      <c r="E12" s="10">
        <v>0.60129999999999995</v>
      </c>
      <c r="F12" s="9" t="s">
        <v>56</v>
      </c>
      <c r="G12" s="7" t="s">
        <v>142</v>
      </c>
    </row>
    <row r="13" spans="2:7" ht="17">
      <c r="B13" s="4" t="s">
        <v>143</v>
      </c>
      <c r="C13" s="10">
        <v>0.44750000000000001</v>
      </c>
      <c r="D13" s="10">
        <v>0.57220000000000004</v>
      </c>
      <c r="E13" s="10">
        <v>0.60440000000000005</v>
      </c>
      <c r="F13" s="9" t="s">
        <v>61</v>
      </c>
      <c r="G13" s="7" t="s">
        <v>144</v>
      </c>
    </row>
    <row r="14" spans="2:7" ht="17">
      <c r="B14" s="4" t="s">
        <v>145</v>
      </c>
      <c r="C14" s="10">
        <v>-5.9200000000000003E-2</v>
      </c>
      <c r="D14" s="10">
        <v>8.5999999999999993E-2</v>
      </c>
      <c r="E14" s="10">
        <v>0.28699999999999998</v>
      </c>
      <c r="F14" s="9" t="s">
        <v>56</v>
      </c>
      <c r="G14" s="7" t="s">
        <v>142</v>
      </c>
    </row>
    <row r="15" spans="2:7" ht="17">
      <c r="B15" s="4" t="s">
        <v>146</v>
      </c>
      <c r="C15" s="11"/>
      <c r="D15" s="11"/>
      <c r="E15" s="11">
        <v>0.76</v>
      </c>
      <c r="F15" s="9" t="s">
        <v>56</v>
      </c>
      <c r="G15" s="7" t="s">
        <v>147</v>
      </c>
    </row>
    <row r="16" spans="2:7" ht="16">
      <c r="B16" s="28" t="s">
        <v>148</v>
      </c>
      <c r="C16" s="28"/>
      <c r="D16" s="28"/>
      <c r="E16" s="28"/>
      <c r="F16" s="28"/>
      <c r="G16" s="28"/>
    </row>
    <row r="17" spans="2:7" ht="17">
      <c r="B17" s="4" t="s">
        <v>149</v>
      </c>
      <c r="C17" s="8">
        <v>4995.18</v>
      </c>
      <c r="D17" s="8">
        <v>7001.7</v>
      </c>
      <c r="E17" s="8">
        <v>14496.56</v>
      </c>
      <c r="F17" s="9" t="s">
        <v>56</v>
      </c>
      <c r="G17" s="7" t="s">
        <v>150</v>
      </c>
    </row>
    <row r="18" spans="2:7" ht="30">
      <c r="B18" s="4" t="s">
        <v>151</v>
      </c>
      <c r="C18" s="12">
        <v>3771.83</v>
      </c>
      <c r="D18" s="12">
        <v>5915.85</v>
      </c>
      <c r="E18" s="12">
        <v>14120.93</v>
      </c>
      <c r="F18" s="9" t="s">
        <v>152</v>
      </c>
      <c r="G18" s="7" t="s">
        <v>153</v>
      </c>
    </row>
    <row r="19" spans="2:7" ht="17">
      <c r="B19" s="4" t="s">
        <v>154</v>
      </c>
      <c r="C19" s="8">
        <v>1161.69</v>
      </c>
      <c r="D19" s="8">
        <v>1922.26</v>
      </c>
      <c r="E19" s="8">
        <v>6802.65</v>
      </c>
      <c r="F19" s="9" t="s">
        <v>56</v>
      </c>
      <c r="G19" s="7" t="s">
        <v>155</v>
      </c>
    </row>
    <row r="20" spans="2:7" ht="16">
      <c r="B20" s="28" t="s">
        <v>156</v>
      </c>
      <c r="C20" s="28"/>
      <c r="D20" s="28"/>
      <c r="E20" s="28"/>
      <c r="F20" s="28"/>
      <c r="G20" s="28"/>
    </row>
    <row r="21" spans="2:7" ht="17">
      <c r="B21" s="4" t="s">
        <v>157</v>
      </c>
      <c r="C21" s="8">
        <v>39127.15</v>
      </c>
      <c r="D21" s="8">
        <v>152786.94</v>
      </c>
      <c r="E21" s="8">
        <v>320853.83</v>
      </c>
      <c r="F21" s="9" t="s">
        <v>56</v>
      </c>
      <c r="G21" s="7" t="s">
        <v>158</v>
      </c>
    </row>
    <row r="22" spans="2:7" ht="17">
      <c r="B22" s="4" t="s">
        <v>159</v>
      </c>
      <c r="C22" s="8">
        <v>29904.49</v>
      </c>
      <c r="D22" s="8">
        <v>128054.9</v>
      </c>
      <c r="E22" s="8">
        <v>260465.85</v>
      </c>
      <c r="F22" s="9" t="s">
        <v>56</v>
      </c>
      <c r="G22" s="7" t="s">
        <v>158</v>
      </c>
    </row>
    <row r="23" spans="2:7" ht="17">
      <c r="B23" s="4" t="s">
        <v>160</v>
      </c>
      <c r="C23" s="10">
        <v>0.23569999999999999</v>
      </c>
      <c r="D23" s="10">
        <v>0.16189999999999999</v>
      </c>
      <c r="E23" s="10">
        <v>0.18820000000000001</v>
      </c>
      <c r="F23" s="9" t="s">
        <v>56</v>
      </c>
      <c r="G23" s="7" t="s">
        <v>142</v>
      </c>
    </row>
    <row r="24" spans="2:7" ht="17">
      <c r="B24" s="4" t="s">
        <v>161</v>
      </c>
      <c r="C24" s="8">
        <v>494.25</v>
      </c>
      <c r="D24" s="8">
        <v>19239.13</v>
      </c>
      <c r="E24" s="8">
        <v>66998.179999999993</v>
      </c>
      <c r="F24" s="9" t="s">
        <v>56</v>
      </c>
      <c r="G24" s="7" t="s">
        <v>162</v>
      </c>
    </row>
    <row r="25" spans="2:7" ht="16">
      <c r="B25" s="28" t="s">
        <v>163</v>
      </c>
      <c r="C25" s="28"/>
      <c r="D25" s="28"/>
      <c r="E25" s="28"/>
      <c r="F25" s="28"/>
      <c r="G25" s="28"/>
    </row>
    <row r="26" spans="2:7" ht="17">
      <c r="B26" s="4" t="s">
        <v>164</v>
      </c>
      <c r="C26" s="13"/>
      <c r="D26" s="13"/>
      <c r="E26" s="13">
        <v>516</v>
      </c>
      <c r="F26" s="9" t="s">
        <v>56</v>
      </c>
      <c r="G26" s="7" t="s">
        <v>165</v>
      </c>
    </row>
    <row r="27" spans="2:7" ht="17">
      <c r="B27" s="4" t="s">
        <v>166</v>
      </c>
      <c r="C27" s="13"/>
      <c r="D27" s="13"/>
      <c r="E27" s="13">
        <v>184</v>
      </c>
      <c r="F27" s="9" t="s">
        <v>56</v>
      </c>
      <c r="G27" s="7" t="s">
        <v>167</v>
      </c>
    </row>
    <row r="28" spans="2:7" ht="17">
      <c r="B28" s="4" t="s">
        <v>168</v>
      </c>
      <c r="C28" s="10"/>
      <c r="D28" s="10"/>
      <c r="E28" s="10">
        <f>E27/E26</f>
        <v>0.35658914728682173</v>
      </c>
      <c r="F28" s="9" t="s">
        <v>134</v>
      </c>
      <c r="G28" s="7" t="e">
        <f>研发人员/员工总数</f>
        <v>#NAME?</v>
      </c>
    </row>
  </sheetData>
  <mergeCells count="6">
    <mergeCell ref="B25:G25"/>
    <mergeCell ref="B16:G16"/>
    <mergeCell ref="B20:G20"/>
    <mergeCell ref="B1:G1"/>
    <mergeCell ref="B8:G8"/>
    <mergeCell ref="B4:G4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21"/>
  <sheetViews>
    <sheetView showGridLines="0" workbookViewId="0"/>
  </sheetViews>
  <sheetFormatPr baseColWidth="10" defaultColWidth="8.83203125" defaultRowHeight="14"/>
  <cols>
    <col min="1" max="1" width="2" customWidth="1"/>
    <col min="2" max="2" width="30" customWidth="1"/>
    <col min="3" max="8" width="12" customWidth="1"/>
    <col min="9" max="9" width="36" customWidth="1"/>
  </cols>
  <sheetData>
    <row r="1" spans="2:9" ht="24" customHeight="1">
      <c r="B1" s="29" t="s">
        <v>169</v>
      </c>
      <c r="C1" s="29"/>
      <c r="D1" s="29"/>
      <c r="E1" s="29"/>
      <c r="F1" s="29"/>
      <c r="G1" s="29"/>
      <c r="H1" s="29"/>
      <c r="I1" s="29"/>
    </row>
    <row r="3" spans="2:9" ht="16">
      <c r="B3" s="28" t="s">
        <v>170</v>
      </c>
      <c r="C3" s="28"/>
      <c r="D3" s="28"/>
      <c r="E3" s="28"/>
      <c r="F3" s="28"/>
      <c r="G3" s="28"/>
      <c r="H3" s="28"/>
      <c r="I3" s="28"/>
    </row>
    <row r="4" spans="2:9" ht="17">
      <c r="B4" s="5" t="s">
        <v>121</v>
      </c>
      <c r="C4" s="5" t="s">
        <v>171</v>
      </c>
      <c r="D4" s="5" t="s">
        <v>172</v>
      </c>
      <c r="E4" s="5" t="s">
        <v>173</v>
      </c>
      <c r="F4" s="5" t="s">
        <v>174</v>
      </c>
      <c r="G4" s="5" t="s">
        <v>175</v>
      </c>
      <c r="H4" s="5" t="s">
        <v>176</v>
      </c>
      <c r="I4" s="5" t="s">
        <v>177</v>
      </c>
    </row>
    <row r="5" spans="2:9" ht="30">
      <c r="B5" s="4" t="s">
        <v>128</v>
      </c>
      <c r="C5" s="14">
        <v>25095.9</v>
      </c>
      <c r="D5" s="14">
        <v>77571.399999999994</v>
      </c>
      <c r="E5" s="8">
        <v>116749.01</v>
      </c>
      <c r="F5" s="14">
        <v>169926.93</v>
      </c>
      <c r="G5" s="8">
        <v>42284.05</v>
      </c>
      <c r="H5" s="8">
        <v>115224.56</v>
      </c>
      <c r="I5" s="7" t="s">
        <v>178</v>
      </c>
    </row>
    <row r="6" spans="2:9" ht="17">
      <c r="B6" s="4" t="s">
        <v>136</v>
      </c>
      <c r="C6" s="14">
        <v>9560</v>
      </c>
      <c r="D6" s="14">
        <v>-3202.45</v>
      </c>
      <c r="E6" s="8">
        <v>10530</v>
      </c>
      <c r="F6" s="14">
        <v>27821.05</v>
      </c>
      <c r="G6" s="8">
        <v>5001.38</v>
      </c>
      <c r="H6" s="8">
        <v>27399.99</v>
      </c>
      <c r="I6" s="7" t="s">
        <v>179</v>
      </c>
    </row>
    <row r="7" spans="2:9" ht="17">
      <c r="B7" s="4" t="s">
        <v>180</v>
      </c>
      <c r="C7" s="8">
        <v>8483.65</v>
      </c>
      <c r="D7" s="8">
        <v>30243.35</v>
      </c>
      <c r="E7" s="8">
        <v>43061.23</v>
      </c>
      <c r="F7" s="8">
        <v>59075.28</v>
      </c>
      <c r="G7" s="8">
        <v>4025.36</v>
      </c>
      <c r="H7" s="8">
        <v>24393.03</v>
      </c>
      <c r="I7" s="7" t="s">
        <v>181</v>
      </c>
    </row>
    <row r="8" spans="2:9" ht="17">
      <c r="B8" s="4" t="s">
        <v>161</v>
      </c>
      <c r="C8" s="14"/>
      <c r="D8" s="14">
        <v>34300</v>
      </c>
      <c r="E8" s="8">
        <v>42800</v>
      </c>
      <c r="F8" s="14">
        <v>66998.179999999993</v>
      </c>
      <c r="G8" s="8">
        <v>3439.96</v>
      </c>
      <c r="H8" s="8">
        <v>23154.53</v>
      </c>
      <c r="I8" s="7" t="s">
        <v>182</v>
      </c>
    </row>
    <row r="9" spans="2:9" ht="17">
      <c r="B9" s="4" t="s">
        <v>183</v>
      </c>
      <c r="C9" s="10"/>
      <c r="D9" s="10"/>
      <c r="E9" s="10"/>
      <c r="F9" s="10">
        <v>3.3264</v>
      </c>
      <c r="G9" s="10">
        <v>0.68489999999999995</v>
      </c>
      <c r="H9" s="10">
        <v>0.4854</v>
      </c>
      <c r="I9" s="7" t="s">
        <v>184</v>
      </c>
    </row>
    <row r="10" spans="2:9" ht="17">
      <c r="B10" s="4" t="s">
        <v>185</v>
      </c>
      <c r="C10" s="10"/>
      <c r="D10" s="10"/>
      <c r="E10" s="10"/>
      <c r="F10" s="10"/>
      <c r="G10" s="10">
        <v>-0.52549999999999997</v>
      </c>
      <c r="H10" s="10">
        <v>-0.19339999999999999</v>
      </c>
      <c r="I10" s="7" t="s">
        <v>186</v>
      </c>
    </row>
    <row r="11" spans="2:9" ht="45">
      <c r="B11" s="3" t="s">
        <v>187</v>
      </c>
      <c r="I11" s="7" t="s">
        <v>188</v>
      </c>
    </row>
    <row r="13" spans="2:9" ht="16">
      <c r="B13" s="30" t="s">
        <v>189</v>
      </c>
      <c r="C13" s="30"/>
      <c r="D13" s="30"/>
      <c r="E13" s="30"/>
      <c r="F13" s="30"/>
      <c r="G13" s="30"/>
      <c r="H13" s="30"/>
      <c r="I13" s="30"/>
    </row>
    <row r="14" spans="2:9" ht="17">
      <c r="B14" s="5" t="s">
        <v>190</v>
      </c>
      <c r="C14" s="5" t="s">
        <v>191</v>
      </c>
      <c r="D14" s="5" t="s">
        <v>192</v>
      </c>
      <c r="E14" s="5" t="s">
        <v>193</v>
      </c>
      <c r="F14" s="5" t="s">
        <v>194</v>
      </c>
      <c r="G14" s="33" t="s">
        <v>195</v>
      </c>
      <c r="H14" s="32"/>
      <c r="I14" s="32"/>
    </row>
    <row r="15" spans="2:9" ht="17">
      <c r="B15" s="4" t="s">
        <v>196</v>
      </c>
      <c r="C15" s="14">
        <v>105200</v>
      </c>
      <c r="D15" s="14">
        <v>112800</v>
      </c>
      <c r="E15" s="15">
        <v>0.35620000000000002</v>
      </c>
      <c r="F15" s="15">
        <v>0.4541</v>
      </c>
      <c r="G15" s="31" t="s">
        <v>197</v>
      </c>
      <c r="H15" s="32"/>
      <c r="I15" s="32"/>
    </row>
    <row r="16" spans="2:9" ht="17">
      <c r="B16" s="4" t="s">
        <v>198</v>
      </c>
      <c r="C16" s="14">
        <v>25800</v>
      </c>
      <c r="D16" s="14">
        <v>30600</v>
      </c>
      <c r="E16" s="15"/>
      <c r="F16" s="15"/>
      <c r="G16" s="31" t="s">
        <v>199</v>
      </c>
      <c r="H16" s="32"/>
      <c r="I16" s="32"/>
    </row>
    <row r="17" spans="2:9" ht="17">
      <c r="B17" s="4" t="s">
        <v>200</v>
      </c>
      <c r="C17" s="14">
        <v>23600</v>
      </c>
      <c r="D17" s="14">
        <v>28300</v>
      </c>
      <c r="E17" s="15">
        <v>-0.21970000000000001</v>
      </c>
      <c r="F17" s="15">
        <v>-6.4299999999999996E-2</v>
      </c>
      <c r="G17" s="31" t="s">
        <v>201</v>
      </c>
      <c r="H17" s="32"/>
      <c r="I17" s="32"/>
    </row>
    <row r="19" spans="2:9" ht="16">
      <c r="B19" s="28" t="s">
        <v>202</v>
      </c>
      <c r="C19" s="28"/>
      <c r="D19" s="28"/>
      <c r="E19" s="28"/>
      <c r="F19" s="28"/>
      <c r="G19" s="28"/>
      <c r="H19" s="28"/>
      <c r="I19" s="28"/>
    </row>
    <row r="20" spans="2:9" ht="17">
      <c r="B20" s="3" t="s">
        <v>203</v>
      </c>
      <c r="C20" s="6" t="s">
        <v>204</v>
      </c>
      <c r="D20" s="6" t="s">
        <v>205</v>
      </c>
      <c r="E20" s="6" t="s">
        <v>206</v>
      </c>
      <c r="F20" s="35" t="s">
        <v>207</v>
      </c>
      <c r="G20" s="32"/>
      <c r="H20" s="32"/>
      <c r="I20" s="32"/>
    </row>
    <row r="21" spans="2:9" ht="17">
      <c r="B21" s="4" t="s">
        <v>208</v>
      </c>
      <c r="C21" s="16">
        <f>H5</f>
        <v>115224.56</v>
      </c>
      <c r="D21" s="8">
        <f>C15</f>
        <v>105200</v>
      </c>
      <c r="E21" s="8">
        <f>D15</f>
        <v>112800</v>
      </c>
      <c r="F21" s="34" t="str">
        <f>IF(C21&gt;E21,"实际高于预测上限",IF(C21&lt;D21,"实际低于预测下限","落在预测区间内"))</f>
        <v>实际高于预测上限</v>
      </c>
      <c r="G21" s="32"/>
      <c r="H21" s="32"/>
      <c r="I21" s="32"/>
    </row>
  </sheetData>
  <mergeCells count="10">
    <mergeCell ref="F21:I21"/>
    <mergeCell ref="G17:I17"/>
    <mergeCell ref="F20:I20"/>
    <mergeCell ref="B1:I1"/>
    <mergeCell ref="G15:I15"/>
    <mergeCell ref="B13:I13"/>
    <mergeCell ref="G16:I16"/>
    <mergeCell ref="G14:I14"/>
    <mergeCell ref="B3:I3"/>
    <mergeCell ref="B19:I19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7"/>
  <sheetViews>
    <sheetView showGridLines="0" workbookViewId="0"/>
  </sheetViews>
  <sheetFormatPr baseColWidth="10" defaultColWidth="8.83203125" defaultRowHeight="14"/>
  <cols>
    <col min="1" max="1" width="2" customWidth="1"/>
    <col min="2" max="2" width="30" customWidth="1"/>
    <col min="3" max="5" width="13" customWidth="1"/>
    <col min="6" max="6" width="11" customWidth="1"/>
    <col min="7" max="7" width="42" customWidth="1"/>
  </cols>
  <sheetData>
    <row r="1" spans="2:7" ht="24" customHeight="1">
      <c r="B1" s="29" t="s">
        <v>209</v>
      </c>
      <c r="C1" s="29"/>
      <c r="D1" s="29"/>
      <c r="E1" s="29"/>
      <c r="F1" s="29"/>
      <c r="G1" s="29"/>
    </row>
    <row r="3" spans="2:7" ht="16">
      <c r="B3" s="28" t="s">
        <v>210</v>
      </c>
      <c r="C3" s="28"/>
      <c r="D3" s="28"/>
      <c r="E3" s="28"/>
      <c r="F3" s="28"/>
      <c r="G3" s="28"/>
    </row>
    <row r="4" spans="2:7" ht="17">
      <c r="B4" s="5" t="s">
        <v>211</v>
      </c>
      <c r="C4" s="5" t="s">
        <v>122</v>
      </c>
      <c r="D4" s="5" t="s">
        <v>123</v>
      </c>
      <c r="E4" s="5" t="s">
        <v>124</v>
      </c>
      <c r="F4" s="5" t="s">
        <v>125</v>
      </c>
      <c r="G4" s="5" t="s">
        <v>126</v>
      </c>
    </row>
    <row r="5" spans="2:7" ht="17">
      <c r="B5" s="4" t="s">
        <v>212</v>
      </c>
      <c r="C5" s="8">
        <v>296.70999999999998</v>
      </c>
      <c r="D5" s="8">
        <v>10689.76</v>
      </c>
      <c r="E5" s="8">
        <v>86783.19</v>
      </c>
      <c r="F5" s="9" t="s">
        <v>213</v>
      </c>
      <c r="G5" s="7" t="s">
        <v>214</v>
      </c>
    </row>
    <row r="6" spans="2:7" ht="17">
      <c r="B6" s="4" t="s">
        <v>215</v>
      </c>
      <c r="C6" s="8">
        <v>11938.09</v>
      </c>
      <c r="D6" s="8">
        <v>23054.37</v>
      </c>
      <c r="E6" s="8">
        <v>69762.559999999998</v>
      </c>
      <c r="F6" s="9" t="s">
        <v>213</v>
      </c>
      <c r="G6" s="7" t="s">
        <v>216</v>
      </c>
    </row>
    <row r="7" spans="2:7" ht="17">
      <c r="B7" s="4" t="s">
        <v>217</v>
      </c>
      <c r="C7" s="8">
        <v>2692.34</v>
      </c>
      <c r="D7" s="8">
        <v>4453.82</v>
      </c>
      <c r="E7" s="8"/>
      <c r="F7" s="9" t="s">
        <v>86</v>
      </c>
      <c r="G7" s="7" t="s">
        <v>218</v>
      </c>
    </row>
    <row r="8" spans="2:7" ht="17">
      <c r="B8" s="4" t="s">
        <v>219</v>
      </c>
      <c r="C8" s="8">
        <v>826.51</v>
      </c>
      <c r="D8" s="8">
        <v>529.33000000000004</v>
      </c>
      <c r="E8" s="8"/>
      <c r="F8" s="9" t="s">
        <v>86</v>
      </c>
      <c r="G8" s="7"/>
    </row>
    <row r="9" spans="2:7" ht="17">
      <c r="B9" s="18" t="s">
        <v>220</v>
      </c>
      <c r="C9" s="19">
        <f>SUM(C5:C8)</f>
        <v>15753.65</v>
      </c>
      <c r="D9" s="19">
        <f>SUM(D5:D8)</f>
        <v>38727.279999999999</v>
      </c>
      <c r="E9" s="19">
        <f>SUM(E5:E8)</f>
        <v>156545.75</v>
      </c>
      <c r="F9" s="9" t="s">
        <v>134</v>
      </c>
      <c r="G9" s="7" t="s">
        <v>221</v>
      </c>
    </row>
    <row r="10" spans="2:7" ht="17">
      <c r="B10" s="4" t="s">
        <v>222</v>
      </c>
      <c r="C10" s="10">
        <f>C5/C9</f>
        <v>1.8834365369295367E-2</v>
      </c>
      <c r="D10" s="10">
        <f>D5/D9</f>
        <v>0.27602661483068269</v>
      </c>
      <c r="E10" s="10">
        <f>E5/E9</f>
        <v>0.5543631174912127</v>
      </c>
      <c r="F10" s="9" t="s">
        <v>134</v>
      </c>
      <c r="G10" s="7"/>
    </row>
    <row r="11" spans="2:7" ht="17">
      <c r="B11" s="4" t="s">
        <v>223</v>
      </c>
      <c r="C11" s="10">
        <f>C6/C9</f>
        <v>0.75779835149314601</v>
      </c>
      <c r="D11" s="10">
        <f>D6/D9</f>
        <v>0.59530052200929162</v>
      </c>
      <c r="E11" s="10">
        <f>E6/E9</f>
        <v>0.44563688250878736</v>
      </c>
      <c r="F11" s="9" t="s">
        <v>134</v>
      </c>
      <c r="G11" s="7"/>
    </row>
    <row r="12" spans="2:7" ht="17">
      <c r="B12" s="4" t="s">
        <v>224</v>
      </c>
      <c r="C12" s="10">
        <f>(C7+C8)/C9</f>
        <v>0.22336728313755863</v>
      </c>
      <c r="D12" s="10">
        <f>(D7+D8)/D9</f>
        <v>0.12867286316002569</v>
      </c>
      <c r="E12" s="10">
        <f>(E9-E5-E6)/E9</f>
        <v>0</v>
      </c>
      <c r="F12" s="9" t="s">
        <v>134</v>
      </c>
      <c r="G12" s="7" t="s">
        <v>225</v>
      </c>
    </row>
    <row r="14" spans="2:7" ht="16">
      <c r="B14" s="28" t="s">
        <v>226</v>
      </c>
      <c r="C14" s="28"/>
      <c r="D14" s="28"/>
      <c r="E14" s="28"/>
      <c r="F14" s="28"/>
      <c r="G14" s="28"/>
    </row>
    <row r="15" spans="2:7" ht="17">
      <c r="B15" s="5" t="s">
        <v>227</v>
      </c>
      <c r="C15" s="5" t="s">
        <v>122</v>
      </c>
      <c r="D15" s="5" t="s">
        <v>123</v>
      </c>
      <c r="E15" s="5" t="s">
        <v>124</v>
      </c>
      <c r="F15" s="5" t="s">
        <v>125</v>
      </c>
      <c r="G15" s="5" t="s">
        <v>126</v>
      </c>
    </row>
    <row r="16" spans="2:7" ht="17">
      <c r="B16" s="4" t="s">
        <v>228</v>
      </c>
      <c r="C16" s="13">
        <v>5</v>
      </c>
      <c r="D16" s="13">
        <v>412</v>
      </c>
      <c r="E16" s="13">
        <v>5215</v>
      </c>
      <c r="F16" s="9" t="s">
        <v>229</v>
      </c>
      <c r="G16" s="7" t="s">
        <v>230</v>
      </c>
    </row>
    <row r="17" spans="2:7" ht="17">
      <c r="B17" s="4" t="s">
        <v>231</v>
      </c>
      <c r="C17" s="13">
        <v>3121</v>
      </c>
      <c r="D17" s="13">
        <v>7136</v>
      </c>
      <c r="E17" s="13">
        <v>23037</v>
      </c>
      <c r="F17" s="9" t="s">
        <v>232</v>
      </c>
      <c r="G17" s="7" t="s">
        <v>233</v>
      </c>
    </row>
    <row r="18" spans="2:7" ht="30">
      <c r="B18" s="4" t="s">
        <v>234</v>
      </c>
      <c r="C18" s="11">
        <f t="shared" ref="C18:E19" si="0">C5/C16</f>
        <v>59.341999999999999</v>
      </c>
      <c r="D18" s="11">
        <f t="shared" si="0"/>
        <v>25.946019417475728</v>
      </c>
      <c r="E18" s="11">
        <f t="shared" si="0"/>
        <v>16.641071907957816</v>
      </c>
      <c r="F18" s="9" t="s">
        <v>134</v>
      </c>
      <c r="G18" s="7" t="s">
        <v>235</v>
      </c>
    </row>
    <row r="19" spans="2:7" ht="17">
      <c r="B19" s="4" t="s">
        <v>236</v>
      </c>
      <c r="C19" s="11">
        <f t="shared" si="0"/>
        <v>3.8250849086831145</v>
      </c>
      <c r="D19" s="11">
        <f t="shared" si="0"/>
        <v>3.2307132847533633</v>
      </c>
      <c r="E19" s="11">
        <f t="shared" si="0"/>
        <v>3.0282831965967789</v>
      </c>
      <c r="F19" s="9" t="s">
        <v>134</v>
      </c>
      <c r="G19" s="7" t="s">
        <v>237</v>
      </c>
    </row>
    <row r="21" spans="2:7" ht="16">
      <c r="B21" s="28" t="s">
        <v>238</v>
      </c>
      <c r="C21" s="28"/>
      <c r="D21" s="28"/>
      <c r="E21" s="28"/>
      <c r="F21" s="28"/>
      <c r="G21" s="28"/>
    </row>
    <row r="22" spans="2:7" ht="17">
      <c r="B22" s="5" t="s">
        <v>239</v>
      </c>
      <c r="C22" s="5" t="s">
        <v>122</v>
      </c>
      <c r="D22" s="5" t="s">
        <v>123</v>
      </c>
      <c r="E22" s="5" t="s">
        <v>124</v>
      </c>
      <c r="F22" s="5" t="s">
        <v>125</v>
      </c>
      <c r="G22" s="5" t="s">
        <v>126</v>
      </c>
    </row>
    <row r="23" spans="2:7" ht="17">
      <c r="B23" s="4" t="s">
        <v>240</v>
      </c>
      <c r="C23" s="8">
        <v>6989.41</v>
      </c>
      <c r="D23" s="8">
        <v>17116.54</v>
      </c>
      <c r="E23" s="8">
        <v>94445.56</v>
      </c>
      <c r="F23" s="9" t="s">
        <v>241</v>
      </c>
      <c r="G23" s="7" t="s">
        <v>242</v>
      </c>
    </row>
    <row r="24" spans="2:7" ht="17">
      <c r="B24" s="4" t="s">
        <v>243</v>
      </c>
      <c r="C24" s="8">
        <v>8764.24</v>
      </c>
      <c r="D24" s="8">
        <v>21610.74</v>
      </c>
      <c r="E24" s="8">
        <v>73165.53</v>
      </c>
      <c r="F24" s="9" t="s">
        <v>67</v>
      </c>
      <c r="G24" s="7" t="s">
        <v>244</v>
      </c>
    </row>
    <row r="25" spans="2:7" ht="17">
      <c r="B25" s="3" t="s">
        <v>245</v>
      </c>
      <c r="C25" s="8">
        <f>SUM(C23:C24)</f>
        <v>15753.65</v>
      </c>
      <c r="D25" s="8">
        <f>SUM(D23:D24)</f>
        <v>38727.279999999999</v>
      </c>
      <c r="E25" s="8">
        <f>SUM(E23:E24)</f>
        <v>167611.09</v>
      </c>
      <c r="F25" s="9" t="s">
        <v>134</v>
      </c>
      <c r="G25" s="7"/>
    </row>
    <row r="26" spans="2:7" ht="17">
      <c r="B26" s="4" t="s">
        <v>246</v>
      </c>
      <c r="C26" s="10">
        <f>C24/C25</f>
        <v>0.55633075509485108</v>
      </c>
      <c r="D26" s="10">
        <f>D24/D25</f>
        <v>0.55802369802371876</v>
      </c>
      <c r="E26" s="10">
        <f>E24/E25</f>
        <v>0.43651962408931294</v>
      </c>
      <c r="F26" s="9" t="s">
        <v>134</v>
      </c>
      <c r="G26" s="7"/>
    </row>
    <row r="28" spans="2:7" ht="16">
      <c r="B28" s="28" t="s">
        <v>247</v>
      </c>
      <c r="C28" s="28"/>
      <c r="D28" s="28"/>
      <c r="E28" s="28"/>
      <c r="F28" s="28"/>
      <c r="G28" s="28"/>
    </row>
    <row r="29" spans="2:7" ht="17">
      <c r="B29" s="5" t="s">
        <v>248</v>
      </c>
      <c r="C29" s="5" t="s">
        <v>249</v>
      </c>
      <c r="D29" s="5" t="s">
        <v>250</v>
      </c>
      <c r="E29" s="5" t="s">
        <v>251</v>
      </c>
      <c r="F29" s="5" t="s">
        <v>125</v>
      </c>
      <c r="G29" s="5" t="s">
        <v>126</v>
      </c>
    </row>
    <row r="30" spans="2:7" ht="17">
      <c r="B30" s="4" t="s">
        <v>252</v>
      </c>
      <c r="C30" s="10">
        <v>0.73599999999999999</v>
      </c>
      <c r="D30" s="10">
        <v>0.1739</v>
      </c>
      <c r="E30" s="10">
        <v>9.01E-2</v>
      </c>
      <c r="F30" s="9" t="s">
        <v>86</v>
      </c>
      <c r="G30" s="7" t="s">
        <v>253</v>
      </c>
    </row>
    <row r="31" spans="2:7" ht="17">
      <c r="B31" s="4" t="s">
        <v>254</v>
      </c>
      <c r="C31" s="10">
        <v>0.31580000000000003</v>
      </c>
      <c r="D31" s="10">
        <v>0.42299999999999999</v>
      </c>
      <c r="E31" s="10">
        <v>0.26119999999999999</v>
      </c>
      <c r="F31" s="9" t="s">
        <v>86</v>
      </c>
      <c r="G31" s="7" t="s">
        <v>255</v>
      </c>
    </row>
    <row r="33" spans="2:7" ht="16">
      <c r="B33" s="28" t="s">
        <v>256</v>
      </c>
      <c r="C33" s="28"/>
      <c r="D33" s="28"/>
      <c r="E33" s="28"/>
      <c r="F33" s="28"/>
      <c r="G33" s="28"/>
    </row>
    <row r="34" spans="2:7" ht="28" customHeight="1">
      <c r="B34" s="3" t="s">
        <v>257</v>
      </c>
      <c r="C34" s="36" t="s">
        <v>258</v>
      </c>
      <c r="D34" s="32"/>
      <c r="E34" s="32"/>
      <c r="F34" s="32"/>
      <c r="G34" s="32"/>
    </row>
    <row r="35" spans="2:7" ht="28" customHeight="1">
      <c r="B35" s="3" t="s">
        <v>254</v>
      </c>
      <c r="C35" s="36" t="s">
        <v>259</v>
      </c>
      <c r="D35" s="32"/>
      <c r="E35" s="32"/>
      <c r="F35" s="32"/>
      <c r="G35" s="32"/>
    </row>
    <row r="36" spans="2:7" ht="28" customHeight="1">
      <c r="B36" s="3" t="s">
        <v>260</v>
      </c>
      <c r="C36" s="36" t="s">
        <v>261</v>
      </c>
      <c r="D36" s="32"/>
      <c r="E36" s="32"/>
      <c r="F36" s="32"/>
      <c r="G36" s="32"/>
    </row>
    <row r="37" spans="2:7" ht="28" customHeight="1">
      <c r="B37" s="3" t="s">
        <v>262</v>
      </c>
      <c r="C37" s="36" t="s">
        <v>263</v>
      </c>
      <c r="D37" s="32"/>
      <c r="E37" s="32"/>
      <c r="F37" s="32"/>
      <c r="G37" s="32"/>
    </row>
  </sheetData>
  <mergeCells count="10">
    <mergeCell ref="B1:G1"/>
    <mergeCell ref="C37:G37"/>
    <mergeCell ref="C36:G36"/>
    <mergeCell ref="B21:G21"/>
    <mergeCell ref="B33:G33"/>
    <mergeCell ref="B3:G3"/>
    <mergeCell ref="C35:G35"/>
    <mergeCell ref="B28:G28"/>
    <mergeCell ref="C34:G34"/>
    <mergeCell ref="B14:G14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G24"/>
  <sheetViews>
    <sheetView showGridLines="0" workbookViewId="0"/>
  </sheetViews>
  <sheetFormatPr baseColWidth="10" defaultColWidth="8.83203125" defaultRowHeight="14"/>
  <cols>
    <col min="1" max="1" width="2" customWidth="1"/>
    <col min="2" max="2" width="36" customWidth="1"/>
    <col min="3" max="6" width="13" customWidth="1"/>
    <col min="7" max="7" width="44" customWidth="1"/>
  </cols>
  <sheetData>
    <row r="1" spans="2:7" ht="24" customHeight="1">
      <c r="B1" s="29" t="s">
        <v>264</v>
      </c>
      <c r="C1" s="29"/>
      <c r="D1" s="29"/>
      <c r="E1" s="29"/>
      <c r="F1" s="29"/>
      <c r="G1" s="29"/>
    </row>
    <row r="3" spans="2:7" ht="17">
      <c r="B3" s="5" t="s">
        <v>227</v>
      </c>
      <c r="C3" s="5" t="s">
        <v>122</v>
      </c>
      <c r="D3" s="5" t="s">
        <v>123</v>
      </c>
      <c r="E3" s="5" t="s">
        <v>124</v>
      </c>
      <c r="F3" s="5" t="s">
        <v>176</v>
      </c>
      <c r="G3" s="5" t="s">
        <v>265</v>
      </c>
    </row>
    <row r="4" spans="2:7" ht="17">
      <c r="B4" s="4" t="s">
        <v>266</v>
      </c>
      <c r="C4" s="10"/>
      <c r="D4" s="20">
        <f>'02_原始数据_年度'!D5/'02_原始数据_年度'!C5-1</f>
        <v>1.468169672930554</v>
      </c>
      <c r="E4" s="20">
        <f>'02_原始数据_年度'!E5/'02_原始数据_年度'!D5-1</f>
        <v>3.3263647211973808</v>
      </c>
      <c r="F4" s="20">
        <f>'03_原始数据_期间'!H5/'03_原始数据_期间'!D5-1</f>
        <v>0.48540003145489186</v>
      </c>
      <c r="G4" s="7" t="s">
        <v>267</v>
      </c>
    </row>
    <row r="5" spans="2:7" ht="17">
      <c r="B5" s="4" t="s">
        <v>268</v>
      </c>
      <c r="C5" s="10"/>
      <c r="D5" s="10"/>
      <c r="E5" s="20">
        <f>('02_原始数据_年度'!E5/'02_原始数据_年度'!C5)^(1/2)-1</f>
        <v>2.2677518569952686</v>
      </c>
      <c r="F5" s="10"/>
      <c r="G5" s="7" t="s">
        <v>269</v>
      </c>
    </row>
    <row r="6" spans="2:7" ht="17">
      <c r="B6" s="4" t="s">
        <v>270</v>
      </c>
      <c r="C6" s="10"/>
      <c r="D6" s="20">
        <f>'02_原始数据_年度'!D9/ABS('02_原始数据_年度'!C9)*SIGN('02_原始数据_年度'!D9)</f>
        <v>8.5665180213726213</v>
      </c>
      <c r="E6" s="20">
        <f>'02_原始数据_年度'!E9/'02_原始数据_年度'!D9-1</f>
        <v>1.9139709263291742</v>
      </c>
      <c r="F6" s="20">
        <f>'03_原始数据_期间'!H6/'03_原始数据_期间'!D6-1</f>
        <v>-9.5559462286686774</v>
      </c>
      <c r="G6" s="7" t="s">
        <v>271</v>
      </c>
    </row>
    <row r="7" spans="2:7" ht="17">
      <c r="B7" s="4" t="s">
        <v>185</v>
      </c>
      <c r="C7" s="10"/>
      <c r="D7" s="10"/>
      <c r="E7" s="20">
        <f>'02_原始数据_年度'!E10/'02_原始数据_年度'!D10-1</f>
        <v>6.5277669111135186</v>
      </c>
      <c r="F7" s="20">
        <f>'03_原始数据_期间'!H7/'03_原始数据_期间'!D7-1</f>
        <v>-0.19344153342800985</v>
      </c>
      <c r="G7" s="7" t="s">
        <v>272</v>
      </c>
    </row>
    <row r="8" spans="2:7" ht="17">
      <c r="B8" s="4" t="s">
        <v>273</v>
      </c>
      <c r="C8" s="20">
        <f>'02_原始数据_年度'!C9/'02_原始数据_年度'!C5</f>
        <v>-7.0035768507626259E-2</v>
      </c>
      <c r="D8" s="20">
        <f>'02_原始数据_年度'!D9/'02_原始数据_年度'!D5</f>
        <v>0.24307999552919807</v>
      </c>
      <c r="E8" s="20">
        <f>'02_原始数据_年度'!E9/'02_原始数据_年度'!E5</f>
        <v>0.16372360755296408</v>
      </c>
      <c r="F8" s="20">
        <f>'03_原始数据_期间'!H6/'03_原始数据_期间'!H5</f>
        <v>0.23779643853706192</v>
      </c>
      <c r="G8" s="7" t="s">
        <v>274</v>
      </c>
    </row>
    <row r="9" spans="2:7" ht="17">
      <c r="B9" s="4" t="s">
        <v>275</v>
      </c>
      <c r="C9" s="20">
        <f>'02_原始数据_年度'!C10/'02_原始数据_年度'!C5</f>
        <v>-0.11323195990307564</v>
      </c>
      <c r="D9" s="20">
        <f>'02_原始数据_年度'!D10/'02_原始数据_年度'!D5</f>
        <v>0.19980232741393386</v>
      </c>
      <c r="E9" s="20">
        <f>'02_原始数据_年度'!E10/'02_原始数据_年度'!E5</f>
        <v>0.34765107567117232</v>
      </c>
      <c r="F9" s="20">
        <f>'03_原始数据_期间'!H7/'03_原始数据_期间'!H5</f>
        <v>0.21169991883674799</v>
      </c>
      <c r="G9" s="7" t="s">
        <v>276</v>
      </c>
    </row>
    <row r="10" spans="2:7" ht="17">
      <c r="B10" s="4" t="s">
        <v>277</v>
      </c>
      <c r="C10" s="20">
        <f>'02_原始数据_年度'!C17/'02_原始数据_年度'!C5</f>
        <v>0.31389693240430733</v>
      </c>
      <c r="D10" s="20">
        <f>'02_原始数据_年度'!D17/'02_原始数据_年度'!D5</f>
        <v>0.17826431554084865</v>
      </c>
      <c r="E10" s="20">
        <f>'02_原始数据_年度'!E17/'02_原始数据_年度'!E5</f>
        <v>8.531055083499714E-2</v>
      </c>
      <c r="F10" s="10"/>
      <c r="G10" s="7" t="s">
        <v>278</v>
      </c>
    </row>
    <row r="11" spans="2:7" ht="17">
      <c r="B11" s="4" t="s">
        <v>279</v>
      </c>
      <c r="C11" s="20">
        <f>'02_原始数据_年度'!C18/'02_原始数据_年度'!C5</f>
        <v>0.23702166219246121</v>
      </c>
      <c r="D11" s="20">
        <f>'02_原始数据_年度'!D18/'02_原始数据_年度'!D5</f>
        <v>0.15061841425544217</v>
      </c>
      <c r="E11" s="20">
        <f>'02_原始数据_年度'!E18/'02_原始数据_年度'!E5</f>
        <v>8.3100012458296055E-2</v>
      </c>
      <c r="F11" s="10"/>
      <c r="G11" s="7" t="s">
        <v>280</v>
      </c>
    </row>
    <row r="12" spans="2:7" ht="17">
      <c r="B12" s="4" t="s">
        <v>281</v>
      </c>
      <c r="C12" s="16">
        <f>'02_原始数据_年度'!C17+'02_原始数据_年度'!C18</f>
        <v>8767.01</v>
      </c>
      <c r="D12" s="16">
        <f>'02_原始数据_年度'!D17+'02_原始数据_年度'!D18</f>
        <v>12917.55</v>
      </c>
      <c r="E12" s="16">
        <f>'02_原始数据_年度'!E17+'02_原始数据_年度'!E18</f>
        <v>28617.489999999998</v>
      </c>
      <c r="F12" s="8"/>
      <c r="G12" s="7" t="s">
        <v>282</v>
      </c>
    </row>
    <row r="13" spans="2:7" ht="17">
      <c r="B13" s="4" t="s">
        <v>283</v>
      </c>
      <c r="C13" s="16">
        <f>'02_原始数据_年度'!C11</f>
        <v>687.40000000000009</v>
      </c>
      <c r="D13" s="16">
        <f>'02_原始数据_年度'!D11</f>
        <v>1699.8199999999997</v>
      </c>
      <c r="E13" s="16">
        <f>'02_原始数据_年度'!E11</f>
        <v>-31254.23</v>
      </c>
      <c r="F13" s="8"/>
      <c r="G13" s="7" t="s">
        <v>284</v>
      </c>
    </row>
    <row r="14" spans="2:7" ht="17">
      <c r="B14" s="4" t="s">
        <v>285</v>
      </c>
      <c r="C14" s="20">
        <f>'02_原始数据_年度'!C24/'02_原始数据_年度'!C5</f>
        <v>3.1058652308991644E-2</v>
      </c>
      <c r="D14" s="20">
        <f>'02_原始数据_年度'!D24/'02_原始数据_年度'!D5</f>
        <v>0.48983108974269213</v>
      </c>
      <c r="E14" s="20">
        <f>'02_原始数据_年度'!E24/'02_原始数据_年度'!E5</f>
        <v>0.39427641045477602</v>
      </c>
      <c r="F14" s="20">
        <f>'03_原始数据_期间'!H8/'03_原始数据_期间'!H5</f>
        <v>0.20095134231799192</v>
      </c>
      <c r="G14" s="7" t="s">
        <v>286</v>
      </c>
    </row>
    <row r="15" spans="2:7" ht="17">
      <c r="B15" s="4" t="s">
        <v>287</v>
      </c>
      <c r="C15" s="21">
        <f>IF('02_原始数据_年度'!C9=0,"",'02_原始数据_年度'!C24/'02_原始数据_年度'!C9)</f>
        <v>-0.44346843007240849</v>
      </c>
      <c r="D15" s="21">
        <f>'02_原始数据_年度'!D24/'02_原始数据_年度'!D9</f>
        <v>2.0151024302773406</v>
      </c>
      <c r="E15" s="21">
        <f>'02_原始数据_年度'!E24/'02_原始数据_年度'!E9</f>
        <v>2.4081830125031223</v>
      </c>
      <c r="F15" s="21">
        <f>'03_原始数据_期间'!H8/'03_原始数据_期间'!H6</f>
        <v>0.84505614783071081</v>
      </c>
      <c r="G15" s="7" t="s">
        <v>288</v>
      </c>
    </row>
    <row r="16" spans="2:7" ht="17">
      <c r="B16" s="4" t="s">
        <v>289</v>
      </c>
      <c r="C16" s="10"/>
      <c r="D16" s="20">
        <f>'02_原始数据_年度'!D21/'02_原始数据_年度'!C21-1</f>
        <v>2.9048829265612239</v>
      </c>
      <c r="E16" s="20">
        <f>'02_原始数据_年度'!E21/'02_原始数据_年度'!D21-1</f>
        <v>1.1000082205979123</v>
      </c>
      <c r="F16" s="10"/>
      <c r="G16" s="7" t="s">
        <v>290</v>
      </c>
    </row>
    <row r="17" spans="2:7" ht="17">
      <c r="B17" s="4" t="s">
        <v>291</v>
      </c>
      <c r="C17" s="8"/>
      <c r="D17" s="8"/>
      <c r="E17" s="16">
        <f>'02_原始数据_年度'!E5/'02_原始数据_年度'!E26</f>
        <v>329.3157558139535</v>
      </c>
      <c r="F17" s="8"/>
      <c r="G17" s="7" t="s">
        <v>292</v>
      </c>
    </row>
    <row r="18" spans="2:7" ht="17">
      <c r="B18" s="4" t="s">
        <v>293</v>
      </c>
      <c r="C18" s="10"/>
      <c r="D18" s="10"/>
      <c r="E18" s="10"/>
      <c r="F18" s="20">
        <f>'03_原始数据_期间'!H5/'02_原始数据_年度'!E5</f>
        <v>0.67808298543379797</v>
      </c>
      <c r="G18" s="7" t="s">
        <v>294</v>
      </c>
    </row>
    <row r="20" spans="2:7" ht="16">
      <c r="B20" s="28" t="s">
        <v>295</v>
      </c>
      <c r="C20" s="28"/>
      <c r="D20" s="28"/>
      <c r="E20" s="28"/>
      <c r="F20" s="28"/>
      <c r="G20" s="28"/>
    </row>
    <row r="21" spans="2:7" ht="17">
      <c r="B21" s="6" t="s">
        <v>296</v>
      </c>
      <c r="C21" s="6" t="s">
        <v>297</v>
      </c>
      <c r="D21" s="6" t="s">
        <v>298</v>
      </c>
      <c r="E21" s="6" t="s">
        <v>299</v>
      </c>
      <c r="F21" s="6" t="s">
        <v>300</v>
      </c>
      <c r="G21" s="6" t="s">
        <v>195</v>
      </c>
    </row>
    <row r="22" spans="2:7" ht="17">
      <c r="B22" s="4" t="s">
        <v>301</v>
      </c>
      <c r="C22" s="16">
        <f>'03_原始数据_期间'!D5-'03_原始数据_期间'!C5</f>
        <v>52475.499999999993</v>
      </c>
      <c r="D22" s="16">
        <f>'03_原始数据_期间'!E5-'03_原始数据_期间'!D5</f>
        <v>39177.61</v>
      </c>
      <c r="E22" s="16">
        <f>'03_原始数据_期间'!F5-'03_原始数据_期间'!E5</f>
        <v>53177.919999999998</v>
      </c>
      <c r="F22" s="16">
        <f>'03_原始数据_期间'!H5-'03_原始数据_期间'!G5</f>
        <v>72940.509999999995</v>
      </c>
      <c r="G22" s="7" t="s">
        <v>302</v>
      </c>
    </row>
    <row r="23" spans="2:7" ht="17">
      <c r="B23" s="4" t="s">
        <v>303</v>
      </c>
      <c r="C23" s="16">
        <f>'03_原始数据_期间'!D6-'03_原始数据_期间'!C6</f>
        <v>-12762.45</v>
      </c>
      <c r="D23" s="16">
        <f>'03_原始数据_期间'!E6-'03_原始数据_期间'!D6</f>
        <v>13732.45</v>
      </c>
      <c r="E23" s="16">
        <f>'03_原始数据_期间'!F6-'03_原始数据_期间'!E6</f>
        <v>17291.05</v>
      </c>
      <c r="F23" s="16">
        <f>'03_原始数据_期间'!H6-'03_原始数据_期间'!G6</f>
        <v>22398.61</v>
      </c>
      <c r="G23" s="7" t="s">
        <v>304</v>
      </c>
    </row>
    <row r="24" spans="2:7" ht="17">
      <c r="B24" s="4" t="s">
        <v>305</v>
      </c>
      <c r="C24" s="16">
        <f>'03_原始数据_期间'!D7-'03_原始数据_期间'!C7</f>
        <v>21759.699999999997</v>
      </c>
      <c r="D24" s="16">
        <f>'03_原始数据_期间'!E7-'03_原始数据_期间'!D7</f>
        <v>12817.880000000005</v>
      </c>
      <c r="E24" s="16">
        <f>'03_原始数据_期间'!F7-'03_原始数据_期间'!E7</f>
        <v>16014.049999999996</v>
      </c>
      <c r="F24" s="16">
        <f>'03_原始数据_期间'!H7-'03_原始数据_期间'!G7</f>
        <v>20367.669999999998</v>
      </c>
      <c r="G24" s="7"/>
    </row>
  </sheetData>
  <mergeCells count="2">
    <mergeCell ref="B20:G20"/>
    <mergeCell ref="B1:G1"/>
  </mergeCells>
  <phoneticPr fontId="9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27"/>
  <sheetViews>
    <sheetView showGridLines="0" workbookViewId="0"/>
  </sheetViews>
  <sheetFormatPr baseColWidth="10" defaultColWidth="8.83203125" defaultRowHeight="14"/>
  <cols>
    <col min="1" max="1" width="2" customWidth="1"/>
    <col min="2" max="2" width="34" customWidth="1"/>
    <col min="3" max="3" width="20" customWidth="1"/>
    <col min="4" max="4" width="14" customWidth="1"/>
    <col min="5" max="5" width="48" customWidth="1"/>
  </cols>
  <sheetData>
    <row r="1" spans="2:5" ht="24" customHeight="1">
      <c r="B1" s="29" t="s">
        <v>306</v>
      </c>
      <c r="C1" s="29"/>
      <c r="D1" s="29"/>
      <c r="E1" s="29"/>
    </row>
    <row r="3" spans="2:5" ht="16">
      <c r="B3" s="28" t="s">
        <v>307</v>
      </c>
      <c r="C3" s="28"/>
      <c r="D3" s="28"/>
      <c r="E3" s="28"/>
    </row>
    <row r="4" spans="2:5" ht="17">
      <c r="B4" s="3" t="s">
        <v>308</v>
      </c>
      <c r="C4" s="36" t="s">
        <v>309</v>
      </c>
      <c r="D4" s="9" t="s">
        <v>310</v>
      </c>
      <c r="E4" s="7" t="s">
        <v>311</v>
      </c>
    </row>
    <row r="5" spans="2:5" ht="17">
      <c r="B5" s="3" t="s">
        <v>312</v>
      </c>
      <c r="C5" s="36" t="s">
        <v>313</v>
      </c>
      <c r="D5" s="9" t="s">
        <v>74</v>
      </c>
      <c r="E5" s="7"/>
    </row>
    <row r="6" spans="2:5" ht="17">
      <c r="B6" s="3" t="s">
        <v>314</v>
      </c>
      <c r="C6" s="36">
        <v>150.80000000000001</v>
      </c>
      <c r="D6" s="9" t="s">
        <v>80</v>
      </c>
      <c r="E6" s="7"/>
    </row>
    <row r="7" spans="2:5" ht="17">
      <c r="B7" s="3" t="s">
        <v>315</v>
      </c>
      <c r="C7" s="36">
        <v>4044.6433999999999</v>
      </c>
      <c r="D7" s="9" t="s">
        <v>80</v>
      </c>
      <c r="E7" s="7" t="s">
        <v>316</v>
      </c>
    </row>
    <row r="8" spans="2:5" ht="17">
      <c r="B8" s="3" t="s">
        <v>317</v>
      </c>
      <c r="C8" s="36">
        <v>40446.434000000001</v>
      </c>
      <c r="D8" s="9" t="s">
        <v>74</v>
      </c>
      <c r="E8" s="7"/>
    </row>
    <row r="9" spans="2:5" ht="17">
      <c r="B9" s="3" t="s">
        <v>318</v>
      </c>
      <c r="C9" s="36">
        <v>60.99</v>
      </c>
      <c r="D9" s="9" t="s">
        <v>80</v>
      </c>
      <c r="E9" s="7" t="s">
        <v>319</v>
      </c>
    </row>
    <row r="10" spans="2:5" ht="17">
      <c r="B10" s="3" t="s">
        <v>320</v>
      </c>
      <c r="C10" s="36">
        <v>59.17</v>
      </c>
      <c r="D10" s="9" t="s">
        <v>80</v>
      </c>
      <c r="E10" s="7" t="s">
        <v>321</v>
      </c>
    </row>
    <row r="11" spans="2:5" ht="17">
      <c r="B11" s="3" t="s">
        <v>322</v>
      </c>
      <c r="C11" s="36">
        <v>609.92999999999995</v>
      </c>
      <c r="D11" s="9" t="s">
        <v>310</v>
      </c>
      <c r="E11" s="7" t="s">
        <v>323</v>
      </c>
    </row>
    <row r="12" spans="2:5" ht="17">
      <c r="B12" s="3" t="s">
        <v>324</v>
      </c>
      <c r="C12" s="37">
        <v>219.23</v>
      </c>
      <c r="D12" s="9" t="s">
        <v>325</v>
      </c>
      <c r="E12" s="7" t="s">
        <v>326</v>
      </c>
    </row>
    <row r="13" spans="2:5" ht="17">
      <c r="B13" s="3" t="s">
        <v>327</v>
      </c>
      <c r="C13" s="36" t="s">
        <v>328</v>
      </c>
      <c r="D13" s="9" t="s">
        <v>56</v>
      </c>
      <c r="E13" s="7" t="s">
        <v>329</v>
      </c>
    </row>
    <row r="14" spans="2:5" ht="17">
      <c r="B14" s="3" t="s">
        <v>330</v>
      </c>
      <c r="C14" s="36" t="s">
        <v>331</v>
      </c>
      <c r="D14" s="9" t="s">
        <v>332</v>
      </c>
      <c r="E14" s="7" t="s">
        <v>333</v>
      </c>
    </row>
    <row r="16" spans="2:5" ht="16">
      <c r="B16" s="28" t="s">
        <v>334</v>
      </c>
      <c r="C16" s="28"/>
      <c r="D16" s="28"/>
      <c r="E16" s="28"/>
    </row>
    <row r="17" spans="2:5" ht="17">
      <c r="B17" s="5" t="s">
        <v>335</v>
      </c>
      <c r="C17" s="5" t="s">
        <v>336</v>
      </c>
      <c r="D17" s="5" t="s">
        <v>337</v>
      </c>
      <c r="E17" s="5" t="s">
        <v>195</v>
      </c>
    </row>
    <row r="18" spans="2:5" ht="17">
      <c r="B18" s="4" t="s">
        <v>338</v>
      </c>
      <c r="C18" s="11">
        <v>120</v>
      </c>
      <c r="D18" s="11">
        <v>127</v>
      </c>
      <c r="E18" s="7" t="s">
        <v>339</v>
      </c>
    </row>
    <row r="19" spans="2:5" ht="17">
      <c r="B19" s="4" t="s">
        <v>340</v>
      </c>
      <c r="C19" s="11"/>
      <c r="D19" s="11">
        <v>609.92999999999995</v>
      </c>
      <c r="E19" s="7" t="s">
        <v>341</v>
      </c>
    </row>
    <row r="21" spans="2:5" ht="16">
      <c r="B21" s="28" t="s">
        <v>342</v>
      </c>
      <c r="C21" s="28"/>
      <c r="D21" s="28"/>
      <c r="E21" s="28"/>
    </row>
    <row r="22" spans="2:5" ht="17">
      <c r="B22" s="5" t="s">
        <v>121</v>
      </c>
      <c r="C22" s="5" t="s">
        <v>343</v>
      </c>
      <c r="D22" s="5" t="s">
        <v>344</v>
      </c>
      <c r="E22" s="5" t="s">
        <v>345</v>
      </c>
    </row>
    <row r="23" spans="2:5" ht="17">
      <c r="B23" s="4" t="s">
        <v>346</v>
      </c>
      <c r="C23" s="13">
        <v>202200</v>
      </c>
      <c r="D23" s="10">
        <f>C23/C27</f>
        <v>0.48131397286360389</v>
      </c>
      <c r="E23" s="7" t="s">
        <v>347</v>
      </c>
    </row>
    <row r="24" spans="2:5" ht="17">
      <c r="B24" s="4" t="s">
        <v>348</v>
      </c>
      <c r="C24" s="13">
        <v>111000</v>
      </c>
      <c r="D24" s="10">
        <f>C24/C27</f>
        <v>0.2642228040942633</v>
      </c>
      <c r="E24" s="7" t="s">
        <v>349</v>
      </c>
    </row>
    <row r="25" spans="2:5" ht="17">
      <c r="B25" s="4" t="s">
        <v>350</v>
      </c>
      <c r="C25" s="13">
        <v>44500</v>
      </c>
      <c r="D25" s="10">
        <f>C25/C27</f>
        <v>0.10592716019995239</v>
      </c>
      <c r="E25" s="7" t="s">
        <v>351</v>
      </c>
    </row>
    <row r="26" spans="2:5" ht="17">
      <c r="B26" s="4" t="s">
        <v>352</v>
      </c>
      <c r="C26" s="13">
        <v>62400</v>
      </c>
      <c r="D26" s="10">
        <f>C26/C27</f>
        <v>0.14853606284218043</v>
      </c>
      <c r="E26" s="7" t="s">
        <v>353</v>
      </c>
    </row>
    <row r="27" spans="2:5" ht="30">
      <c r="B27" s="22" t="s">
        <v>354</v>
      </c>
      <c r="C27" s="23">
        <f>SUM(C23:C26)</f>
        <v>420100</v>
      </c>
      <c r="D27" s="24">
        <f>C27/C27</f>
        <v>1</v>
      </c>
      <c r="E27" s="7" t="s">
        <v>355</v>
      </c>
    </row>
  </sheetData>
  <mergeCells count="15">
    <mergeCell ref="B21:E21"/>
    <mergeCell ref="B16:E16"/>
    <mergeCell ref="C13"/>
    <mergeCell ref="C11"/>
    <mergeCell ref="C6"/>
    <mergeCell ref="C10"/>
    <mergeCell ref="C14"/>
    <mergeCell ref="C9"/>
    <mergeCell ref="B1:E1"/>
    <mergeCell ref="C8"/>
    <mergeCell ref="C4"/>
    <mergeCell ref="C12"/>
    <mergeCell ref="C7"/>
    <mergeCell ref="B3:E3"/>
    <mergeCell ref="C5"/>
  </mergeCells>
  <phoneticPr fontId="9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40"/>
  <sheetViews>
    <sheetView showGridLines="0" workbookViewId="0"/>
  </sheetViews>
  <sheetFormatPr baseColWidth="10" defaultColWidth="8.83203125" defaultRowHeight="14"/>
  <cols>
    <col min="1" max="1" width="2" customWidth="1"/>
    <col min="2" max="2" width="16" customWidth="1"/>
    <col min="3" max="6" width="13" customWidth="1"/>
    <col min="7" max="7" width="3" customWidth="1"/>
  </cols>
  <sheetData>
    <row r="1" spans="2:6" ht="24" customHeight="1">
      <c r="B1" s="29" t="s">
        <v>356</v>
      </c>
      <c r="C1" s="29"/>
      <c r="D1" s="29"/>
      <c r="E1" s="29"/>
      <c r="F1" s="29"/>
    </row>
    <row r="3" spans="2:6" ht="16">
      <c r="B3" s="28" t="s">
        <v>357</v>
      </c>
      <c r="C3" s="28"/>
      <c r="D3" s="28"/>
    </row>
    <row r="4" spans="2:6" ht="17">
      <c r="B4" s="25" t="s">
        <v>358</v>
      </c>
      <c r="C4" s="25" t="s">
        <v>128</v>
      </c>
      <c r="D4" s="25" t="s">
        <v>180</v>
      </c>
    </row>
    <row r="5" spans="2:6" ht="17">
      <c r="B5" s="17" t="s">
        <v>122</v>
      </c>
      <c r="C5" s="16">
        <f>'02_原始数据_年度'!C5</f>
        <v>15913.44</v>
      </c>
      <c r="D5" s="16">
        <f>'02_原始数据_年度'!C10</f>
        <v>-1801.91</v>
      </c>
    </row>
    <row r="6" spans="2:6" ht="17">
      <c r="B6" s="17" t="s">
        <v>123</v>
      </c>
      <c r="C6" s="16">
        <f>'02_原始数据_年度'!D5</f>
        <v>39277.07</v>
      </c>
      <c r="D6" s="16">
        <f>'02_原始数据_年度'!D10</f>
        <v>7847.65</v>
      </c>
    </row>
    <row r="7" spans="2:6" ht="17">
      <c r="B7" s="17" t="s">
        <v>124</v>
      </c>
      <c r="C7" s="16">
        <f>'02_原始数据_年度'!E5</f>
        <v>169926.93</v>
      </c>
      <c r="D7" s="16">
        <f>'02_原始数据_年度'!E10</f>
        <v>59075.28</v>
      </c>
    </row>
    <row r="9" spans="2:6" ht="16">
      <c r="B9" s="28" t="s">
        <v>359</v>
      </c>
      <c r="C9" s="28"/>
      <c r="D9" s="28"/>
      <c r="E9" s="28"/>
      <c r="F9" s="28"/>
    </row>
    <row r="10" spans="2:6" ht="17">
      <c r="B10" s="25" t="s">
        <v>358</v>
      </c>
      <c r="C10" s="25" t="s">
        <v>360</v>
      </c>
      <c r="D10" s="25" t="s">
        <v>361</v>
      </c>
      <c r="E10" s="25" t="s">
        <v>362</v>
      </c>
      <c r="F10" s="25" t="s">
        <v>277</v>
      </c>
    </row>
    <row r="11" spans="2:6" ht="17">
      <c r="B11" s="17" t="s">
        <v>122</v>
      </c>
      <c r="C11" s="20">
        <f>'02_原始数据_年度'!C12</f>
        <v>0.44219999999999998</v>
      </c>
      <c r="D11" s="20">
        <f>'05_核心计算'!C8</f>
        <v>-7.0035768507626259E-2</v>
      </c>
      <c r="E11" s="20">
        <f>'05_核心计算'!C9</f>
        <v>-0.11323195990307564</v>
      </c>
      <c r="F11" s="20">
        <f>'05_核心计算'!C10</f>
        <v>0.31389693240430733</v>
      </c>
    </row>
    <row r="12" spans="2:6" ht="17">
      <c r="B12" s="17" t="s">
        <v>123</v>
      </c>
      <c r="C12" s="20">
        <f>'02_原始数据_年度'!D12</f>
        <v>0.56740000000000002</v>
      </c>
      <c r="D12" s="20">
        <f>'05_核心计算'!D8</f>
        <v>0.24307999552919807</v>
      </c>
      <c r="E12" s="20">
        <f>'05_核心计算'!D9</f>
        <v>0.19980232741393386</v>
      </c>
      <c r="F12" s="20">
        <f>'05_核心计算'!D10</f>
        <v>0.17826431554084865</v>
      </c>
    </row>
    <row r="13" spans="2:6" ht="17">
      <c r="B13" s="17" t="s">
        <v>124</v>
      </c>
      <c r="C13" s="20">
        <f>'02_原始数据_年度'!E12</f>
        <v>0.60129999999999995</v>
      </c>
      <c r="D13" s="20">
        <f>'05_核心计算'!E8</f>
        <v>0.16372360755296408</v>
      </c>
      <c r="E13" s="20">
        <f>'05_核心计算'!E9</f>
        <v>0.34765107567117232</v>
      </c>
      <c r="F13" s="20">
        <f>'05_核心计算'!E10</f>
        <v>8.531055083499714E-2</v>
      </c>
    </row>
    <row r="15" spans="2:6" ht="16">
      <c r="B15" s="28" t="s">
        <v>363</v>
      </c>
      <c r="C15" s="28"/>
      <c r="D15" s="28"/>
      <c r="E15" s="28"/>
    </row>
    <row r="16" spans="2:6" ht="17">
      <c r="B16" s="25" t="s">
        <v>358</v>
      </c>
      <c r="C16" s="25" t="s">
        <v>252</v>
      </c>
      <c r="D16" s="25" t="s">
        <v>254</v>
      </c>
      <c r="E16" s="25" t="s">
        <v>364</v>
      </c>
    </row>
    <row r="17" spans="2:5" ht="17">
      <c r="B17" s="17" t="s">
        <v>122</v>
      </c>
      <c r="C17" s="16">
        <f>'04_业务经营数据'!C5</f>
        <v>296.70999999999998</v>
      </c>
      <c r="D17" s="16">
        <f>'04_业务经营数据'!C6</f>
        <v>11938.09</v>
      </c>
      <c r="E17" s="16">
        <f>'04_业务经营数据'!C5*0+'04_业务经营数据'!C7+'04_业务经营数据'!C8</f>
        <v>3518.8500000000004</v>
      </c>
    </row>
    <row r="18" spans="2:5" ht="17">
      <c r="B18" s="17" t="s">
        <v>123</v>
      </c>
      <c r="C18" s="16">
        <f>'04_业务经营数据'!D5</f>
        <v>10689.76</v>
      </c>
      <c r="D18" s="16">
        <f>'04_业务经营数据'!D6</f>
        <v>23054.37</v>
      </c>
      <c r="E18" s="16">
        <f>'04_业务经营数据'!D7+'04_业务经营数据'!D8</f>
        <v>4983.1499999999996</v>
      </c>
    </row>
    <row r="19" spans="2:5" ht="17">
      <c r="B19" s="17" t="s">
        <v>124</v>
      </c>
      <c r="C19" s="16">
        <f>'04_业务经营数据'!E5</f>
        <v>86783.19</v>
      </c>
      <c r="D19" s="16">
        <f>'04_业务经营数据'!E6</f>
        <v>69762.559999999998</v>
      </c>
      <c r="E19" s="16">
        <f>'04_业务经营数据'!E12*'04_业务经营数据'!E9</f>
        <v>0</v>
      </c>
    </row>
    <row r="21" spans="2:5" ht="16">
      <c r="B21" s="28" t="s">
        <v>365</v>
      </c>
      <c r="C21" s="28"/>
      <c r="D21" s="28"/>
    </row>
    <row r="22" spans="2:5" ht="17">
      <c r="B22" s="25" t="s">
        <v>358</v>
      </c>
      <c r="C22" s="25" t="s">
        <v>366</v>
      </c>
      <c r="D22" s="25" t="s">
        <v>367</v>
      </c>
    </row>
    <row r="23" spans="2:5" ht="17">
      <c r="B23" s="17" t="s">
        <v>122</v>
      </c>
      <c r="C23" s="16">
        <f>'04_业务经营数据'!C23</f>
        <v>6989.41</v>
      </c>
      <c r="D23" s="16">
        <f>'04_业务经营数据'!C24</f>
        <v>8764.24</v>
      </c>
    </row>
    <row r="24" spans="2:5" ht="17">
      <c r="B24" s="17" t="s">
        <v>123</v>
      </c>
      <c r="C24" s="16">
        <f>'04_业务经营数据'!D23</f>
        <v>17116.54</v>
      </c>
      <c r="D24" s="16">
        <f>'04_业务经营数据'!D24</f>
        <v>21610.74</v>
      </c>
    </row>
    <row r="25" spans="2:5" ht="17">
      <c r="B25" s="17" t="s">
        <v>124</v>
      </c>
      <c r="C25" s="16">
        <f>'04_业务经营数据'!E23</f>
        <v>94445.56</v>
      </c>
      <c r="D25" s="16">
        <f>'04_业务经营数据'!E24</f>
        <v>73165.53</v>
      </c>
    </row>
    <row r="27" spans="2:5" ht="16">
      <c r="B27" s="28" t="s">
        <v>368</v>
      </c>
      <c r="C27" s="28"/>
    </row>
    <row r="28" spans="2:5" ht="17">
      <c r="B28" s="25" t="s">
        <v>369</v>
      </c>
      <c r="C28" s="25" t="s">
        <v>128</v>
      </c>
    </row>
    <row r="29" spans="2:5" ht="17">
      <c r="B29" s="17" t="s">
        <v>370</v>
      </c>
      <c r="C29" s="16">
        <f>'03_原始数据_期间'!C5</f>
        <v>25095.9</v>
      </c>
    </row>
    <row r="30" spans="2:5" ht="17">
      <c r="B30" s="17" t="s">
        <v>297</v>
      </c>
      <c r="C30" s="16">
        <f>'03_原始数据_期间'!D5-'03_原始数据_期间'!C5</f>
        <v>52475.499999999993</v>
      </c>
    </row>
    <row r="31" spans="2:5" ht="17">
      <c r="B31" s="17" t="s">
        <v>298</v>
      </c>
      <c r="C31" s="16">
        <f>'03_原始数据_期间'!E5-'03_原始数据_期间'!D5</f>
        <v>39177.61</v>
      </c>
    </row>
    <row r="32" spans="2:5" ht="17">
      <c r="B32" s="17" t="s">
        <v>299</v>
      </c>
      <c r="C32" s="16">
        <f>'03_原始数据_期间'!F5-'03_原始数据_期间'!E5</f>
        <v>53177.919999999998</v>
      </c>
    </row>
    <row r="33" spans="2:5" ht="17">
      <c r="B33" s="17" t="s">
        <v>371</v>
      </c>
      <c r="C33" s="16">
        <f>'03_原始数据_期间'!G5</f>
        <v>42284.05</v>
      </c>
    </row>
    <row r="34" spans="2:5" ht="17">
      <c r="B34" s="17" t="s">
        <v>300</v>
      </c>
      <c r="C34" s="16">
        <f>'03_原始数据_期间'!H5-'03_原始数据_期间'!G5</f>
        <v>72940.509999999995</v>
      </c>
    </row>
    <row r="36" spans="2:5" ht="16">
      <c r="B36" s="28" t="s">
        <v>372</v>
      </c>
      <c r="C36" s="28"/>
      <c r="D36" s="28"/>
    </row>
    <row r="37" spans="2:5" ht="17">
      <c r="B37" s="25" t="s">
        <v>358</v>
      </c>
      <c r="C37" s="25" t="s">
        <v>373</v>
      </c>
      <c r="D37" s="25" t="s">
        <v>374</v>
      </c>
    </row>
    <row r="38" spans="2:5" ht="17">
      <c r="B38" s="17" t="s">
        <v>122</v>
      </c>
      <c r="C38" s="26">
        <f>'04_业务经营数据'!C16</f>
        <v>5</v>
      </c>
      <c r="D38" s="26">
        <f>'04_业务经营数据'!C18</f>
        <v>59.341999999999999</v>
      </c>
      <c r="E38" s="27"/>
    </row>
    <row r="39" spans="2:5" ht="17">
      <c r="B39" s="17" t="s">
        <v>123</v>
      </c>
      <c r="C39" s="26">
        <f>'04_业务经营数据'!D16</f>
        <v>412</v>
      </c>
      <c r="D39" s="26">
        <f>'04_业务经营数据'!D18</f>
        <v>25.946019417475728</v>
      </c>
      <c r="E39" s="27"/>
    </row>
    <row r="40" spans="2:5" ht="17">
      <c r="B40" s="17" t="s">
        <v>124</v>
      </c>
      <c r="C40" s="26">
        <f>'04_业务经营数据'!E16</f>
        <v>5215</v>
      </c>
      <c r="D40" s="26">
        <f>'04_业务经营数据'!E18</f>
        <v>16.641071907957816</v>
      </c>
      <c r="E40" s="27"/>
    </row>
  </sheetData>
  <mergeCells count="7">
    <mergeCell ref="B3:D3"/>
    <mergeCell ref="B36:D36"/>
    <mergeCell ref="B15:E15"/>
    <mergeCell ref="B21:D21"/>
    <mergeCell ref="B1:F1"/>
    <mergeCell ref="B27:C27"/>
    <mergeCell ref="B9:F9"/>
  </mergeCells>
  <phoneticPr fontId="9" type="noConversion"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2"/>
  <sheetViews>
    <sheetView showGridLines="0" workbookViewId="0"/>
  </sheetViews>
  <sheetFormatPr baseColWidth="10" defaultColWidth="8.83203125" defaultRowHeight="14"/>
  <cols>
    <col min="1" max="1" width="2" customWidth="1"/>
    <col min="2" max="2" width="18" customWidth="1"/>
    <col min="3" max="3" width="78" customWidth="1"/>
    <col min="4" max="4" width="30" customWidth="1"/>
  </cols>
  <sheetData>
    <row r="1" spans="2:4" ht="24" customHeight="1">
      <c r="B1" s="29" t="s">
        <v>375</v>
      </c>
      <c r="C1" s="29"/>
      <c r="D1" s="29"/>
    </row>
    <row r="3" spans="2:4" ht="17">
      <c r="B3" s="5" t="s">
        <v>376</v>
      </c>
      <c r="C3" s="5" t="s">
        <v>377</v>
      </c>
      <c r="D3" s="5" t="s">
        <v>378</v>
      </c>
    </row>
    <row r="4" spans="2:4" ht="78" customHeight="1">
      <c r="B4" s="3" t="s">
        <v>379</v>
      </c>
      <c r="C4" s="4" t="s">
        <v>380</v>
      </c>
      <c r="D4" s="7" t="s">
        <v>381</v>
      </c>
    </row>
    <row r="5" spans="2:4" ht="78" customHeight="1">
      <c r="B5" s="3" t="s">
        <v>382</v>
      </c>
      <c r="C5" s="4" t="s">
        <v>383</v>
      </c>
      <c r="D5" s="7" t="s">
        <v>384</v>
      </c>
    </row>
    <row r="6" spans="2:4" ht="78" customHeight="1">
      <c r="B6" s="3" t="s">
        <v>385</v>
      </c>
      <c r="C6" s="4" t="s">
        <v>386</v>
      </c>
      <c r="D6" s="7" t="s">
        <v>387</v>
      </c>
    </row>
    <row r="7" spans="2:4" ht="78" customHeight="1">
      <c r="B7" s="3" t="s">
        <v>388</v>
      </c>
      <c r="C7" s="4" t="s">
        <v>389</v>
      </c>
      <c r="D7" s="7" t="s">
        <v>390</v>
      </c>
    </row>
    <row r="8" spans="2:4" ht="78" customHeight="1">
      <c r="B8" s="3" t="s">
        <v>391</v>
      </c>
      <c r="C8" s="4" t="s">
        <v>392</v>
      </c>
      <c r="D8" s="7" t="s">
        <v>393</v>
      </c>
    </row>
    <row r="9" spans="2:4" ht="78" customHeight="1">
      <c r="B9" s="3" t="s">
        <v>394</v>
      </c>
      <c r="C9" s="4" t="s">
        <v>395</v>
      </c>
      <c r="D9" s="7" t="s">
        <v>396</v>
      </c>
    </row>
    <row r="10" spans="2:4" ht="78" customHeight="1">
      <c r="B10" s="3" t="s">
        <v>397</v>
      </c>
      <c r="C10" s="4" t="s">
        <v>398</v>
      </c>
      <c r="D10" s="7" t="s">
        <v>399</v>
      </c>
    </row>
    <row r="11" spans="2:4" ht="78" customHeight="1">
      <c r="B11" s="3" t="s">
        <v>400</v>
      </c>
      <c r="C11" s="4" t="s">
        <v>401</v>
      </c>
      <c r="D11" s="7" t="s">
        <v>402</v>
      </c>
    </row>
    <row r="12" spans="2:4" ht="78" customHeight="1">
      <c r="B12" s="3" t="s">
        <v>403</v>
      </c>
      <c r="C12" s="4" t="s">
        <v>404</v>
      </c>
      <c r="D12" s="7" t="s">
        <v>405</v>
      </c>
    </row>
  </sheetData>
  <mergeCells count="1">
    <mergeCell ref="B1:D1"/>
  </mergeCells>
  <phoneticPr fontId="9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E15"/>
  <sheetViews>
    <sheetView showGridLines="0" workbookViewId="0"/>
  </sheetViews>
  <sheetFormatPr baseColWidth="10" defaultColWidth="8.83203125" defaultRowHeight="14"/>
  <cols>
    <col min="1" max="1" width="2" customWidth="1"/>
    <col min="2" max="2" width="6" customWidth="1"/>
    <col min="3" max="3" width="40" customWidth="1"/>
    <col min="4" max="4" width="50" customWidth="1"/>
    <col min="5" max="5" width="22" customWidth="1"/>
  </cols>
  <sheetData>
    <row r="1" spans="2:5" ht="24" customHeight="1">
      <c r="B1" s="29" t="s">
        <v>406</v>
      </c>
      <c r="C1" s="29"/>
      <c r="D1" s="29"/>
      <c r="E1" s="29"/>
    </row>
    <row r="3" spans="2:5" ht="17">
      <c r="B3" s="5" t="s">
        <v>407</v>
      </c>
      <c r="C3" s="5" t="s">
        <v>408</v>
      </c>
      <c r="D3" s="5" t="s">
        <v>409</v>
      </c>
      <c r="E3" s="5" t="s">
        <v>410</v>
      </c>
    </row>
    <row r="4" spans="2:5" ht="44" customHeight="1">
      <c r="B4" s="17">
        <v>1</v>
      </c>
      <c r="C4" s="4" t="s">
        <v>411</v>
      </c>
      <c r="D4" s="7" t="s">
        <v>412</v>
      </c>
      <c r="E4" s="4" t="s">
        <v>413</v>
      </c>
    </row>
    <row r="5" spans="2:5" ht="44" customHeight="1">
      <c r="B5" s="17">
        <v>2</v>
      </c>
      <c r="C5" s="4" t="s">
        <v>414</v>
      </c>
      <c r="D5" s="7" t="s">
        <v>415</v>
      </c>
      <c r="E5" s="4" t="s">
        <v>416</v>
      </c>
    </row>
    <row r="6" spans="2:5" ht="44" customHeight="1">
      <c r="B6" s="17">
        <v>3</v>
      </c>
      <c r="C6" s="4" t="s">
        <v>417</v>
      </c>
      <c r="D6" s="7" t="s">
        <v>418</v>
      </c>
      <c r="E6" s="4" t="s">
        <v>419</v>
      </c>
    </row>
    <row r="7" spans="2:5" ht="44" customHeight="1">
      <c r="B7" s="17">
        <v>4</v>
      </c>
      <c r="C7" s="4" t="s">
        <v>420</v>
      </c>
      <c r="D7" s="7" t="s">
        <v>421</v>
      </c>
      <c r="E7" s="4" t="s">
        <v>422</v>
      </c>
    </row>
    <row r="8" spans="2:5" ht="44" customHeight="1">
      <c r="B8" s="17">
        <v>5</v>
      </c>
      <c r="C8" s="4" t="s">
        <v>423</v>
      </c>
      <c r="D8" s="7" t="s">
        <v>424</v>
      </c>
      <c r="E8" s="4" t="s">
        <v>425</v>
      </c>
    </row>
    <row r="9" spans="2:5" ht="44" customHeight="1">
      <c r="B9" s="17">
        <v>6</v>
      </c>
      <c r="C9" s="4" t="s">
        <v>426</v>
      </c>
      <c r="D9" s="7" t="s">
        <v>427</v>
      </c>
      <c r="E9" s="4" t="s">
        <v>428</v>
      </c>
    </row>
    <row r="10" spans="2:5" ht="44" customHeight="1">
      <c r="B10" s="17">
        <v>7</v>
      </c>
      <c r="C10" s="4" t="s">
        <v>429</v>
      </c>
      <c r="D10" s="7" t="s">
        <v>430</v>
      </c>
      <c r="E10" s="4" t="s">
        <v>431</v>
      </c>
    </row>
    <row r="11" spans="2:5" ht="44" customHeight="1">
      <c r="B11" s="17">
        <v>8</v>
      </c>
      <c r="C11" s="4" t="s">
        <v>432</v>
      </c>
      <c r="D11" s="7" t="s">
        <v>433</v>
      </c>
      <c r="E11" s="4" t="s">
        <v>434</v>
      </c>
    </row>
    <row r="12" spans="2:5" ht="44" customHeight="1">
      <c r="B12" s="17">
        <v>9</v>
      </c>
      <c r="C12" s="4" t="s">
        <v>435</v>
      </c>
      <c r="D12" s="7" t="s">
        <v>436</v>
      </c>
      <c r="E12" s="4" t="s">
        <v>437</v>
      </c>
    </row>
    <row r="13" spans="2:5" ht="44" customHeight="1">
      <c r="B13" s="17">
        <v>10</v>
      </c>
      <c r="C13" s="4" t="s">
        <v>438</v>
      </c>
      <c r="D13" s="7" t="s">
        <v>439</v>
      </c>
      <c r="E13" s="4" t="s">
        <v>440</v>
      </c>
    </row>
    <row r="14" spans="2:5" ht="44" customHeight="1">
      <c r="B14" s="17">
        <v>11</v>
      </c>
      <c r="C14" s="4" t="s">
        <v>441</v>
      </c>
      <c r="D14" s="7" t="s">
        <v>442</v>
      </c>
      <c r="E14" s="4" t="s">
        <v>443</v>
      </c>
    </row>
    <row r="15" spans="2:5" ht="44" customHeight="1">
      <c r="B15" s="17">
        <v>12</v>
      </c>
      <c r="C15" s="4" t="s">
        <v>444</v>
      </c>
      <c r="D15" s="7" t="s">
        <v>445</v>
      </c>
      <c r="E15" s="4" t="s">
        <v>446</v>
      </c>
    </row>
  </sheetData>
  <mergeCells count="1">
    <mergeCell ref="B1:E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00_封面与口径</vt:lpstr>
      <vt:lpstr>01_资料来源</vt:lpstr>
      <vt:lpstr>02_原始数据_年度</vt:lpstr>
      <vt:lpstr>03_原始数据_期间</vt:lpstr>
      <vt:lpstr>04_业务经营数据</vt:lpstr>
      <vt:lpstr>05_核心计算</vt:lpstr>
      <vt:lpstr>06_IPO与募投</vt:lpstr>
      <vt:lpstr>07_趋势图表</vt:lpstr>
      <vt:lpstr>08_分析结论</vt:lpstr>
      <vt:lpstr>09_待人工核验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 蘑菇</cp:lastModifiedBy>
  <dcterms:created xsi:type="dcterms:W3CDTF">2026-09-03T16:39:48Z</dcterms:created>
  <dcterms:modified xsi:type="dcterms:W3CDTF">2026-09-04T06:36:46Z</dcterms:modified>
</cp:coreProperties>
</file>
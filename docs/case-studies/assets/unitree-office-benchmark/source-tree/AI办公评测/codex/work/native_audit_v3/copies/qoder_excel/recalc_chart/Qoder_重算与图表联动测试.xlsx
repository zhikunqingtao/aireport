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uoqingtao/Desktop/AI办公评测/codex/work/native_audit_v3/copies/qoder_excel/recalc_chart/"/>
    </mc:Choice>
  </mc:AlternateContent>
  <xr:revisionPtr revIDLastSave="0" documentId="13_ncr:1_{8A23CF4F-47CF-7641-AED5-BBA29A99CECE}" xr6:coauthVersionLast="47" xr6:coauthVersionMax="47" xr10:uidLastSave="{00000000-0000-0000-0000-000000000000}"/>
  <bookViews>
    <workbookView xWindow="0" yWindow="660" windowWidth="34560" windowHeight="19920" activeTab="3" xr2:uid="{00000000-000D-0000-FFFF-FFFF00000000}"/>
  </bookViews>
  <sheets>
    <sheet name="00_封面与口径" sheetId="1" r:id="rId1"/>
    <sheet name="01_资料来源" sheetId="2" r:id="rId2"/>
    <sheet name="02_发行上市原始数据" sheetId="3" r:id="rId3"/>
    <sheet name="03_财务原始数据" sheetId="4" r:id="rId4"/>
    <sheet name="04_业务结构原始数据" sheetId="5" r:id="rId5"/>
    <sheet name="05_客户与同业原始数据" sheetId="6" r:id="rId6"/>
    <sheet name="06_股权与募投原始数据" sheetId="7" r:id="rId7"/>
    <sheet name="07_核心计算" sheetId="8" r:id="rId8"/>
    <sheet name="08_趋势图表" sheetId="9" r:id="rId9"/>
    <sheet name="09_分析结论" sheetId="10" r:id="rId10"/>
    <sheet name="10_待人工核验"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9" i="9" l="1"/>
  <c r="D79" i="9"/>
  <c r="C79" i="9"/>
  <c r="B79" i="9"/>
  <c r="E78" i="9"/>
  <c r="D78" i="9"/>
  <c r="C78" i="9"/>
  <c r="B78" i="9"/>
  <c r="E77" i="9"/>
  <c r="D77" i="9"/>
  <c r="C77" i="9"/>
  <c r="B77" i="9"/>
  <c r="F72" i="9"/>
  <c r="E72" i="9"/>
  <c r="D72" i="9"/>
  <c r="C72" i="9"/>
  <c r="B72" i="9"/>
  <c r="A72" i="9"/>
  <c r="F71" i="9"/>
  <c r="E71" i="9"/>
  <c r="D71" i="9"/>
  <c r="C71" i="9"/>
  <c r="B71" i="9"/>
  <c r="A71" i="9"/>
  <c r="F70" i="9"/>
  <c r="E70" i="9"/>
  <c r="D70" i="9"/>
  <c r="C70" i="9"/>
  <c r="B70" i="9"/>
  <c r="A70" i="9"/>
  <c r="F69" i="9"/>
  <c r="E69" i="9"/>
  <c r="D69" i="9"/>
  <c r="C69" i="9"/>
  <c r="B69" i="9"/>
  <c r="A69" i="9"/>
  <c r="F68" i="9"/>
  <c r="E68" i="9"/>
  <c r="D68" i="9"/>
  <c r="C68" i="9"/>
  <c r="B68" i="9"/>
  <c r="A68" i="9"/>
  <c r="F67" i="9"/>
  <c r="E67" i="9"/>
  <c r="D67" i="9"/>
  <c r="C67" i="9"/>
  <c r="B67" i="9"/>
  <c r="A67" i="9"/>
  <c r="F66" i="9"/>
  <c r="E66" i="9"/>
  <c r="D66" i="9"/>
  <c r="C66" i="9"/>
  <c r="B66" i="9"/>
  <c r="A66" i="9"/>
  <c r="F65" i="9"/>
  <c r="E65" i="9"/>
  <c r="D65" i="9"/>
  <c r="C65" i="9"/>
  <c r="B65" i="9"/>
  <c r="A65" i="9"/>
  <c r="G61" i="9"/>
  <c r="F61" i="9"/>
  <c r="E61" i="9"/>
  <c r="D61" i="9"/>
  <c r="C61" i="9"/>
  <c r="B61" i="9"/>
  <c r="G60" i="9"/>
  <c r="F60" i="9"/>
  <c r="E60" i="9"/>
  <c r="D60" i="9"/>
  <c r="C60" i="9"/>
  <c r="B60" i="9"/>
  <c r="G59" i="9"/>
  <c r="F59" i="9"/>
  <c r="E59" i="9"/>
  <c r="D59" i="9"/>
  <c r="C59" i="9"/>
  <c r="B59" i="9"/>
  <c r="G58" i="9"/>
  <c r="F58" i="9"/>
  <c r="E58" i="9"/>
  <c r="D58" i="9"/>
  <c r="C58" i="9"/>
  <c r="B58" i="9"/>
  <c r="G57" i="9"/>
  <c r="F57" i="9"/>
  <c r="E57" i="9"/>
  <c r="D57" i="9"/>
  <c r="C57" i="9"/>
  <c r="B57" i="9"/>
  <c r="G56" i="9"/>
  <c r="F56" i="9"/>
  <c r="E56" i="9"/>
  <c r="D56" i="9"/>
  <c r="C56" i="9"/>
  <c r="B56" i="9"/>
  <c r="D52" i="9"/>
  <c r="C52" i="9"/>
  <c r="B52" i="9"/>
  <c r="D51" i="9"/>
  <c r="C51" i="9"/>
  <c r="B51" i="9"/>
  <c r="C50" i="9"/>
  <c r="B50" i="9"/>
  <c r="E46" i="9"/>
  <c r="D46" i="9"/>
  <c r="C46" i="9"/>
  <c r="B46" i="9"/>
  <c r="E45" i="9"/>
  <c r="D45" i="9"/>
  <c r="C45" i="9"/>
  <c r="B45" i="9"/>
  <c r="E44" i="9"/>
  <c r="D44" i="9"/>
  <c r="C44" i="9"/>
  <c r="B44" i="9"/>
  <c r="E43" i="9"/>
  <c r="D43" i="9"/>
  <c r="C43" i="9"/>
  <c r="B43" i="9"/>
  <c r="D39" i="9"/>
  <c r="C39" i="9"/>
  <c r="B39" i="9"/>
  <c r="D38" i="9"/>
  <c r="C38" i="9"/>
  <c r="B38" i="9"/>
  <c r="D37" i="9"/>
  <c r="C37" i="9"/>
  <c r="B37" i="9"/>
  <c r="E32" i="9"/>
  <c r="D32" i="9"/>
  <c r="C32" i="9"/>
  <c r="B32" i="9"/>
  <c r="E31" i="9"/>
  <c r="D31" i="9"/>
  <c r="C31" i="9"/>
  <c r="B31" i="9"/>
  <c r="E30" i="9"/>
  <c r="D30" i="9"/>
  <c r="C30" i="9"/>
  <c r="B30" i="9"/>
  <c r="E26" i="9"/>
  <c r="D26" i="9"/>
  <c r="C26" i="9"/>
  <c r="B26" i="9"/>
  <c r="E25" i="9"/>
  <c r="D25" i="9"/>
  <c r="C25" i="9"/>
  <c r="B25" i="9"/>
  <c r="E24" i="9"/>
  <c r="D24" i="9"/>
  <c r="C24" i="9"/>
  <c r="B24" i="9"/>
  <c r="F20" i="9"/>
  <c r="E20" i="9"/>
  <c r="D20" i="9"/>
  <c r="C20" i="9"/>
  <c r="B20" i="9"/>
  <c r="F19" i="9"/>
  <c r="E19" i="9"/>
  <c r="D19" i="9"/>
  <c r="C19" i="9"/>
  <c r="B19" i="9"/>
  <c r="F18" i="9"/>
  <c r="E18" i="9"/>
  <c r="D18" i="9"/>
  <c r="C18" i="9"/>
  <c r="B18" i="9"/>
  <c r="F17" i="9"/>
  <c r="E17" i="9"/>
  <c r="D17" i="9"/>
  <c r="C17" i="9"/>
  <c r="B17" i="9"/>
  <c r="G13" i="9"/>
  <c r="F13" i="9"/>
  <c r="E13" i="9"/>
  <c r="D13" i="9"/>
  <c r="C13" i="9"/>
  <c r="B13" i="9"/>
  <c r="G12" i="9"/>
  <c r="F12" i="9"/>
  <c r="E12" i="9"/>
  <c r="D12" i="9"/>
  <c r="C12" i="9"/>
  <c r="B12" i="9"/>
  <c r="G11" i="9"/>
  <c r="F11" i="9"/>
  <c r="E11" i="9"/>
  <c r="D11" i="9"/>
  <c r="C11" i="9"/>
  <c r="B11" i="9"/>
  <c r="G7" i="9"/>
  <c r="F7" i="9"/>
  <c r="E7" i="9"/>
  <c r="D7" i="9"/>
  <c r="C7" i="9"/>
  <c r="B7" i="9"/>
  <c r="G6" i="9"/>
  <c r="F6" i="9"/>
  <c r="E6" i="9"/>
  <c r="D6" i="9"/>
  <c r="C6" i="9"/>
  <c r="B6" i="9"/>
  <c r="G5" i="9"/>
  <c r="F5" i="9"/>
  <c r="E5" i="9"/>
  <c r="D5" i="9"/>
  <c r="B5" i="9"/>
  <c r="D175" i="8"/>
  <c r="D174" i="8"/>
  <c r="D173" i="8"/>
  <c r="D172" i="8"/>
  <c r="D171" i="8"/>
  <c r="D170" i="8"/>
  <c r="D169" i="8"/>
  <c r="E168" i="8"/>
  <c r="D168" i="8"/>
  <c r="C168" i="8"/>
  <c r="D167" i="8"/>
  <c r="D166" i="8"/>
  <c r="C166" i="8"/>
  <c r="E166" i="8" s="1"/>
  <c r="D165" i="8"/>
  <c r="C165" i="8"/>
  <c r="D164" i="8"/>
  <c r="E164" i="8" s="1"/>
  <c r="C164" i="8"/>
  <c r="D163" i="8"/>
  <c r="E163" i="8" s="1"/>
  <c r="C163" i="8"/>
  <c r="E158" i="8"/>
  <c r="D158" i="8"/>
  <c r="C158" i="8"/>
  <c r="F157" i="8"/>
  <c r="D157" i="8"/>
  <c r="B157" i="8"/>
  <c r="F156" i="8"/>
  <c r="E156" i="8"/>
  <c r="D156" i="8"/>
  <c r="C156" i="8"/>
  <c r="B156" i="8"/>
  <c r="F155" i="8"/>
  <c r="E155" i="8"/>
  <c r="D155" i="8"/>
  <c r="C155" i="8"/>
  <c r="B155" i="8"/>
  <c r="F154" i="8"/>
  <c r="E154" i="8"/>
  <c r="D154" i="8"/>
  <c r="C154" i="8"/>
  <c r="B154" i="8"/>
  <c r="F153" i="8"/>
  <c r="E153" i="8"/>
  <c r="D153" i="8"/>
  <c r="C153" i="8"/>
  <c r="B153" i="8"/>
  <c r="F152" i="8"/>
  <c r="E152" i="8"/>
  <c r="D152" i="8"/>
  <c r="C152" i="8"/>
  <c r="B152" i="8"/>
  <c r="C147" i="8"/>
  <c r="C146" i="8"/>
  <c r="C145" i="8"/>
  <c r="C144" i="8"/>
  <c r="C143" i="8"/>
  <c r="C142" i="8"/>
  <c r="C141" i="8"/>
  <c r="C140" i="8"/>
  <c r="C139" i="8"/>
  <c r="C138" i="8"/>
  <c r="C137" i="8"/>
  <c r="C136" i="8"/>
  <c r="C135" i="8"/>
  <c r="C134" i="8"/>
  <c r="C133" i="8"/>
  <c r="C132" i="8"/>
  <c r="C131" i="8"/>
  <c r="C130" i="8"/>
  <c r="C129" i="8"/>
  <c r="C128" i="8"/>
  <c r="E123" i="8"/>
  <c r="D122" i="8"/>
  <c r="C122" i="8"/>
  <c r="E121" i="8"/>
  <c r="D121" i="8"/>
  <c r="C121" i="8"/>
  <c r="E120" i="8"/>
  <c r="D120" i="8"/>
  <c r="C120" i="8"/>
  <c r="E119" i="8"/>
  <c r="D119" i="8"/>
  <c r="C119" i="8"/>
  <c r="E118" i="8"/>
  <c r="D118" i="8"/>
  <c r="C118" i="8"/>
  <c r="C113" i="8"/>
  <c r="C112" i="8"/>
  <c r="C111" i="8"/>
  <c r="C110" i="8"/>
  <c r="C109" i="8"/>
  <c r="C108" i="8"/>
  <c r="C107" i="8"/>
  <c r="C105" i="8"/>
  <c r="C104" i="8"/>
  <c r="D102" i="8"/>
  <c r="C102" i="8"/>
  <c r="E102" i="8" s="1"/>
  <c r="D101" i="8"/>
  <c r="C101" i="8"/>
  <c r="E101" i="8" s="1"/>
  <c r="D100" i="8"/>
  <c r="C100" i="8"/>
  <c r="E100" i="8" s="1"/>
  <c r="D99" i="8"/>
  <c r="C99" i="8"/>
  <c r="E99" i="8" s="1"/>
  <c r="D98" i="8"/>
  <c r="C98" i="8"/>
  <c r="E98" i="8" s="1"/>
  <c r="D97" i="8"/>
  <c r="C97" i="8"/>
  <c r="E97" i="8" s="1"/>
  <c r="D96" i="8"/>
  <c r="C96" i="8"/>
  <c r="E96" i="8" s="1"/>
  <c r="D95" i="8"/>
  <c r="C95" i="8"/>
  <c r="E95" i="8" s="1"/>
  <c r="D94" i="8"/>
  <c r="E94" i="8" s="1"/>
  <c r="C94" i="8"/>
  <c r="D92" i="8"/>
  <c r="C92" i="8"/>
  <c r="E92" i="8" s="1"/>
  <c r="D91" i="8"/>
  <c r="C91" i="8"/>
  <c r="E91" i="8" s="1"/>
  <c r="D90" i="8"/>
  <c r="C90" i="8"/>
  <c r="E90" i="8" s="1"/>
  <c r="E85" i="8"/>
  <c r="D85" i="8"/>
  <c r="C85" i="8"/>
  <c r="E84" i="8"/>
  <c r="D84" i="8"/>
  <c r="C84" i="8"/>
  <c r="E83" i="8"/>
  <c r="E82" i="8"/>
  <c r="D81" i="8"/>
  <c r="E80" i="8"/>
  <c r="D80" i="8"/>
  <c r="C80" i="8"/>
  <c r="E79" i="8"/>
  <c r="D79" i="8"/>
  <c r="C79" i="8"/>
  <c r="E78" i="8"/>
  <c r="D78" i="8"/>
  <c r="E77" i="8"/>
  <c r="D77" i="8"/>
  <c r="C77" i="8"/>
  <c r="E72" i="8"/>
  <c r="D72" i="8"/>
  <c r="C72" i="8"/>
  <c r="E71" i="8"/>
  <c r="D71" i="8"/>
  <c r="C71" i="8"/>
  <c r="E69" i="8"/>
  <c r="E68" i="8"/>
  <c r="E67" i="8"/>
  <c r="G66" i="8"/>
  <c r="E66" i="8"/>
  <c r="D66" i="8"/>
  <c r="C66" i="8"/>
  <c r="G65" i="8"/>
  <c r="E65" i="8"/>
  <c r="D65" i="8"/>
  <c r="C65" i="8"/>
  <c r="G64" i="8"/>
  <c r="F64" i="8"/>
  <c r="E64" i="8"/>
  <c r="D64" i="8"/>
  <c r="C64" i="8"/>
  <c r="G63" i="8"/>
  <c r="E63" i="8"/>
  <c r="D63" i="8"/>
  <c r="G62" i="8"/>
  <c r="F62" i="8"/>
  <c r="E62" i="8"/>
  <c r="D62" i="8"/>
  <c r="C62" i="8"/>
  <c r="G61" i="8"/>
  <c r="F61" i="8"/>
  <c r="E61" i="8"/>
  <c r="D61" i="8"/>
  <c r="C61" i="8"/>
  <c r="G60" i="8"/>
  <c r="F60" i="8"/>
  <c r="E60" i="8"/>
  <c r="D60" i="8"/>
  <c r="C60" i="8"/>
  <c r="F55" i="8"/>
  <c r="E55" i="8"/>
  <c r="D55" i="8"/>
  <c r="C55" i="8"/>
  <c r="F54" i="8"/>
  <c r="E54" i="8"/>
  <c r="D54" i="8"/>
  <c r="C54" i="8"/>
  <c r="F51" i="8"/>
  <c r="E51" i="8"/>
  <c r="D51" i="8"/>
  <c r="C51" i="8"/>
  <c r="F50" i="8"/>
  <c r="E50" i="8"/>
  <c r="D50" i="8"/>
  <c r="C50" i="8"/>
  <c r="F49" i="8"/>
  <c r="E49" i="8"/>
  <c r="D49" i="8"/>
  <c r="C49" i="8"/>
  <c r="D44" i="8"/>
  <c r="C44" i="8"/>
  <c r="B44" i="8"/>
  <c r="G43" i="8"/>
  <c r="F43" i="8"/>
  <c r="E43" i="8"/>
  <c r="D43" i="8"/>
  <c r="C43" i="8"/>
  <c r="B43" i="8"/>
  <c r="G42" i="8"/>
  <c r="F42" i="8"/>
  <c r="E42" i="8"/>
  <c r="D42" i="8"/>
  <c r="C42" i="8"/>
  <c r="B42" i="8"/>
  <c r="G41" i="8"/>
  <c r="F41" i="8"/>
  <c r="E41" i="8"/>
  <c r="D41" i="8"/>
  <c r="C41" i="8"/>
  <c r="B41" i="8"/>
  <c r="G40" i="8"/>
  <c r="F40" i="8"/>
  <c r="E40" i="8"/>
  <c r="D40" i="8"/>
  <c r="C40" i="8"/>
  <c r="B40" i="8"/>
  <c r="F36" i="8"/>
  <c r="G35" i="8"/>
  <c r="F35" i="8"/>
  <c r="E35" i="8"/>
  <c r="D35" i="8"/>
  <c r="C35" i="8"/>
  <c r="G34" i="8"/>
  <c r="F34" i="8"/>
  <c r="E34" i="8"/>
  <c r="D34" i="8"/>
  <c r="C34" i="8"/>
  <c r="G33" i="8"/>
  <c r="F33" i="8"/>
  <c r="E33" i="8"/>
  <c r="D33" i="8"/>
  <c r="C33" i="8"/>
  <c r="G32" i="8"/>
  <c r="E32" i="8"/>
  <c r="D32" i="8"/>
  <c r="C32" i="8"/>
  <c r="G31" i="8"/>
  <c r="E31" i="8"/>
  <c r="D31" i="8"/>
  <c r="C31" i="8"/>
  <c r="E30" i="8"/>
  <c r="D30" i="8"/>
  <c r="C30" i="8"/>
  <c r="E29" i="8"/>
  <c r="D29" i="8"/>
  <c r="C29" i="8"/>
  <c r="E28" i="8"/>
  <c r="D28" i="8"/>
  <c r="C28" i="8"/>
  <c r="E27" i="8"/>
  <c r="D27" i="8"/>
  <c r="C27" i="8"/>
  <c r="E26" i="8"/>
  <c r="D26" i="8"/>
  <c r="C26" i="8"/>
  <c r="E25" i="8"/>
  <c r="D25" i="8"/>
  <c r="C25" i="8"/>
  <c r="G24" i="8"/>
  <c r="F24" i="8"/>
  <c r="E24" i="8"/>
  <c r="D24" i="8"/>
  <c r="C24" i="8"/>
  <c r="G23" i="8"/>
  <c r="F23" i="8"/>
  <c r="E23" i="8"/>
  <c r="D23" i="8"/>
  <c r="C23" i="8"/>
  <c r="G22" i="8"/>
  <c r="F22" i="8"/>
  <c r="E22" i="8"/>
  <c r="D22" i="8"/>
  <c r="C22" i="8"/>
  <c r="E21" i="8"/>
  <c r="D21" i="8"/>
  <c r="C21" i="8"/>
  <c r="E20" i="8"/>
  <c r="D20" i="8"/>
  <c r="C20" i="8"/>
  <c r="E19" i="8"/>
  <c r="D19" i="8"/>
  <c r="C19" i="8"/>
  <c r="D14" i="8"/>
  <c r="C14" i="8"/>
  <c r="D13" i="8"/>
  <c r="D12" i="8"/>
  <c r="D11" i="8"/>
  <c r="C11" i="8"/>
  <c r="D10" i="8"/>
  <c r="C10" i="8"/>
  <c r="F9" i="8"/>
  <c r="E9" i="8"/>
  <c r="D9" i="8"/>
  <c r="C9" i="8"/>
  <c r="F8" i="8"/>
  <c r="E8" i="8"/>
  <c r="D8" i="8"/>
  <c r="C8" i="8"/>
  <c r="E7" i="8"/>
  <c r="D7" i="8"/>
  <c r="C7" i="8"/>
  <c r="D6" i="8"/>
  <c r="C6" i="8"/>
  <c r="F5" i="8"/>
  <c r="E5" i="8"/>
  <c r="D5" i="8"/>
  <c r="C5" i="8"/>
  <c r="E165" i="8" l="1"/>
  <c r="H120" i="8"/>
  <c r="F120" i="8"/>
  <c r="G120" i="8"/>
  <c r="F119" i="8"/>
  <c r="G119" i="8"/>
  <c r="H119" i="8"/>
  <c r="F118" i="8"/>
  <c r="H118" i="8"/>
  <c r="G118" i="8"/>
  <c r="F52" i="8"/>
  <c r="F53" i="8"/>
  <c r="E52" i="8"/>
  <c r="E53" i="8"/>
  <c r="D52" i="8"/>
  <c r="D53" i="8"/>
  <c r="C53" i="8"/>
  <c r="C52" i="8"/>
</calcChain>
</file>

<file path=xl/sharedStrings.xml><?xml version="1.0" encoding="utf-8"?>
<sst xmlns="http://schemas.openxmlformats.org/spreadsheetml/2006/main" count="2675" uniqueCount="1353">
  <si>
    <t>宇树科技股份有限公司（688836.SH）经营与财务表现分析底稿</t>
  </si>
  <si>
    <t>本底稿为可编辑分析工作簿：所有『核心计算』表中的比率、增速、倍数均由 Excel 公式实时引用『原始数据』表得出，修改任一原始数据后计算结果与图表会自动重算。</t>
  </si>
  <si>
    <t>一、基本信息</t>
  </si>
  <si>
    <t>发行人全称</t>
  </si>
  <si>
    <t>宇树科技股份有限公司（Yushu Technology Co., Ltd.）</t>
  </si>
  <si>
    <t>S1/S2</t>
  </si>
  <si>
    <t>注册地址</t>
  </si>
  <si>
    <t>浙江省杭州市滨江区西兴街道东流路88号1幢</t>
  </si>
  <si>
    <t>证券代码 / 简称</t>
  </si>
  <si>
    <t>688836 / 宇树科技-W（“W”标识存在特别表决权安排）</t>
  </si>
  <si>
    <t>上市板块</t>
  </si>
  <si>
    <t>上海证券交易所 科创板</t>
  </si>
  <si>
    <t>上市日期</t>
  </si>
  <si>
    <t>2026年8月19日</t>
  </si>
  <si>
    <t>主营业务</t>
  </si>
  <si>
    <t>高性能通用人形机器人、四足机器人、机器人组件及具身智能模型的研发、生产和销售</t>
  </si>
  <si>
    <t>所属行业（证监会GB/T4754-2017）</t>
  </si>
  <si>
    <t>C34 通用设备制造业</t>
  </si>
  <si>
    <t>保荐人（主承销商）</t>
  </si>
  <si>
    <t>中信证券股份有限公司</t>
  </si>
  <si>
    <t>会计师事务所</t>
  </si>
  <si>
    <t>容诚会计师事务所（特殊普通合伙）</t>
  </si>
  <si>
    <t>发行人律师</t>
  </si>
  <si>
    <t>北京德恒律师事务所</t>
  </si>
  <si>
    <t>实际控制人</t>
  </si>
  <si>
    <t>王兴兴</t>
  </si>
  <si>
    <t>二、资料截止日与报告期口径（重要）</t>
  </si>
  <si>
    <t>资料截止日</t>
  </si>
  <si>
    <t>2026年8月30日</t>
  </si>
  <si>
    <t>审计截止日</t>
  </si>
  <si>
    <t>2025年12月31日（三年一期中的“三年”）</t>
  </si>
  <si>
    <t>经审计报告期</t>
  </si>
  <si>
    <t>2023年度、2024年度、2025年度（容诚审字[2026]230Z1692号，标准无保留意见）</t>
  </si>
  <si>
    <t>经审阅期间</t>
  </si>
  <si>
    <t>2026年1-3月（容诚阅字[2026]230Z0038号）</t>
  </si>
  <si>
    <t>未经审计期间</t>
  </si>
  <si>
    <t>2026年1-6月（载于上市公告书；公司明示上市后不再单独披露2026年半年度报告）</t>
  </si>
  <si>
    <t>行情数据截止</t>
  </si>
  <si>
    <t>2026年8月28日收盘（截止日前最后一个交易日；8月31日数据超出截止日，本底稿不纳入）</t>
  </si>
  <si>
    <t>三、统一单位与格式约定</t>
  </si>
  <si>
    <t>金额单位</t>
  </si>
  <si>
    <t>除特别注明外，全部金额单位为【人民币万元】，与招股说明书披露口径一致</t>
  </si>
  <si>
    <t>亿元换算</t>
  </si>
  <si>
    <t>如需亿元，请在公式中除以10,000；本底稿不混用单位</t>
  </si>
  <si>
    <t>比率存储方式</t>
  </si>
  <si>
    <t>百分比类指标以小数存储（如0.6013），通过单元格格式显示为60.13%</t>
  </si>
  <si>
    <t>每股指标单位</t>
  </si>
  <si>
    <t>元/股</t>
  </si>
  <si>
    <t>股本单位</t>
  </si>
  <si>
    <t>股（发行前后总股本表另以万股列示，已标注）</t>
  </si>
  <si>
    <t>颜色约定</t>
  </si>
  <si>
    <t>蓝色=原始披露数据；绿色=公式计算结果；黄色=口径/提示说明；橙色=需人工核验</t>
  </si>
  <si>
    <t>四、数据性质分级（严格区分事实与预测）</t>
  </si>
  <si>
    <t>性质代码</t>
  </si>
  <si>
    <t>含义</t>
  </si>
  <si>
    <t>对应期间</t>
  </si>
  <si>
    <t>使用限制</t>
  </si>
  <si>
    <t>A 经审计</t>
  </si>
  <si>
    <t>容诚会计师事务所审计，标准无保留意见</t>
  </si>
  <si>
    <t>2023/2024/2025年度</t>
  </si>
  <si>
    <t>可作为既成事实引用</t>
  </si>
  <si>
    <t>B 经审阅</t>
  </si>
  <si>
    <t>容诚会计师事务所审阅（非审计）</t>
  </si>
  <si>
    <t>2026年1-3月</t>
  </si>
  <si>
    <t>可引用，需注明“经审阅、未经审计”</t>
  </si>
  <si>
    <t>C 未经审计</t>
  </si>
  <si>
    <t>公司董事会审议通过并披露，未经审计或审阅</t>
  </si>
  <si>
    <t>2026年1-6月</t>
  </si>
  <si>
    <t>可引用，必须注明“未经审计”</t>
  </si>
  <si>
    <t>D 管理层预计</t>
  </si>
  <si>
    <t>招股说明书中管理层对2026年1-6月的合理估计，公司明示不构成盈利预测或业绩承诺</t>
  </si>
  <si>
    <t>2026年1-6月（预计区间）</t>
  </si>
  <si>
    <t>严禁表述为已发生事实；本底稿单列于表3-4并全程标注</t>
  </si>
  <si>
    <t>E 分析师测算</t>
  </si>
  <si>
    <t>本底稿基于披露数据自行推算（如年化、倍数），非公司指引</t>
  </si>
  <si>
    <t>视指标而定</t>
  </si>
  <si>
    <t>必须标注“测算”，不得归因于公司</t>
  </si>
  <si>
    <t>特别提示：招股说明书披露的“2026年1-6月财务数据预计”属于性质D，原文载明“为管理层对经营状况的合理估计，不代表公司最终实现的营业收入及净利润，相关数据未经会计师审计或审阅，不构成公司的盈利预测或业绩承诺”。该预计区间（营业收入105,200万至112,800万元）与上市公告书披露的实际数（115,224.56万元）不同，本底稿在表7-8中将两者并列对比，不得互相替代。</t>
  </si>
  <si>
    <t>五、免责声明</t>
  </si>
  <si>
    <t>本底稿仅为基于公开披露文件的信息整理与财务分析工作底稿，不构成任何证券投资建议、评级或估值结论。所有数据以上海证券交易所披露的正式文件为准；使用前请完成表『10_待人工核验』中列示的核对事项。</t>
  </si>
  <si>
    <t>资料来源清单（按权威等级排序）</t>
  </si>
  <si>
    <t>编号 S1–S8 为上海证券交易所法定信息披露文件（一手来源，权威等级最高）；S9 为行情数据（第三方，仅用于市场表现）；S10 为公司官方渠道（本次分析未直接引用，列入待补）。全表“本底稿引用位置”列指明该来源支撑的数据表。</t>
  </si>
  <si>
    <t>来源编号</t>
  </si>
  <si>
    <t>文件名称</t>
  </si>
  <si>
    <t>披露/发布主体</t>
  </si>
  <si>
    <t>披露日期</t>
  </si>
  <si>
    <t>权威等级</t>
  </si>
  <si>
    <t>文件标识（art_code / 文号）</t>
  </si>
  <si>
    <t>获取路径</t>
  </si>
  <si>
    <t>本底稿引用位置</t>
  </si>
  <si>
    <t>S1</t>
  </si>
  <si>
    <t>宇树科技股份有限公司首次公开发行股票并在科创板上市招股说明书</t>
  </si>
  <si>
    <t>宇树科技（上交所披露）</t>
  </si>
  <si>
    <t>2026-08-14</t>
  </si>
  <si>
    <t>一手·法定披露</t>
  </si>
  <si>
    <t>AN202608131827947910（382页PDF）</t>
  </si>
  <si>
    <t>东方财富披露镜像 pdf.dfcfw.com/pdf/H2_AN202608131827947910_1.pdf；原件应核 www.sse.com.cn</t>
  </si>
  <si>
    <t>表3-1、3-2、3-4；表4-1~4-7；表5-1~5-3；表6-1、6-3</t>
  </si>
  <si>
    <t>S2</t>
  </si>
  <si>
    <t>宇树科技首次公开发行股票科创板上市公告书</t>
  </si>
  <si>
    <t>2026-08-18</t>
  </si>
  <si>
    <t>AN202608171828062024（90页PDF）</t>
  </si>
  <si>
    <t>东方财富披露镜像 pdf.dfcfw.com/pdf/H2_AN202608171828062024_1.pdf；原件应核 www.sse.com.cn</t>
  </si>
  <si>
    <t>表2-1；表3-3；表6-2、6-4</t>
  </si>
  <si>
    <t>S3</t>
  </si>
  <si>
    <t>宇树科技首次公开发行股票科创板上市公告书提示性公告</t>
  </si>
  <si>
    <t>AN202608171828062022</t>
  </si>
  <si>
    <t>东方财富披露镜像</t>
  </si>
  <si>
    <t>发行市盈率四口径、市销率、市净率交叉验证</t>
  </si>
  <si>
    <t>S4</t>
  </si>
  <si>
    <t>宇树科技首次公开发行股票并在科创板上市发行结果公告</t>
  </si>
  <si>
    <t>AN202608131827947823</t>
  </si>
  <si>
    <t>募集资金总额/净额、发行费用交叉验证</t>
  </si>
  <si>
    <t>S5</t>
  </si>
  <si>
    <t>宇树科技首次公开发行股票并在科创板上市发行公告</t>
  </si>
  <si>
    <t>2026-08-07</t>
  </si>
  <si>
    <t>AN202608061827718855</t>
  </si>
  <si>
    <t>发行价格确定、行业市盈率、可比公司市销率</t>
  </si>
  <si>
    <t>S6</t>
  </si>
  <si>
    <t>宇树科技首次公开发行股票并在科创板上市招股意向书</t>
  </si>
  <si>
    <t>2026-07-31</t>
  </si>
  <si>
    <t>AN202607301827499558</t>
  </si>
  <si>
    <t>审计报告/审阅报告全文附录（未逐页引用）</t>
  </si>
  <si>
    <t>S7</t>
  </si>
  <si>
    <t>关于同意宇树科技股份有限公司首次公开发行股票注册的批复</t>
  </si>
  <si>
    <t>中国证监会</t>
  </si>
  <si>
    <t>2026-07-02</t>
  </si>
  <si>
    <t>一手·监管文件</t>
  </si>
  <si>
    <t>AN202607061826748666</t>
  </si>
  <si>
    <t>注册生效时点</t>
  </si>
  <si>
    <t>S8</t>
  </si>
  <si>
    <t>上海证券交易所上市审核委员会2026年第31次审议会议结果公告</t>
  </si>
  <si>
    <t>上海证券交易所</t>
  </si>
  <si>
    <t>2026-06-01</t>
  </si>
  <si>
    <t>AN202606011823128106</t>
  </si>
  <si>
    <t>过会时点</t>
  </si>
  <si>
    <t>S9</t>
  </si>
  <si>
    <t>688836 日K线行情（2026-08-19至2026-08-28）</t>
  </si>
  <si>
    <t>东方财富行情接口 push2his.eastmoney.com</t>
  </si>
  <si>
    <t>2026-08-28</t>
  </si>
  <si>
    <t>第三方·行情</t>
  </si>
  <si>
    <t>secid=1.688836, klt=101, fqt=0</t>
  </si>
  <si>
    <t>接口直接取数</t>
  </si>
  <si>
    <t>表2-2；图8</t>
  </si>
  <si>
    <t>S10</t>
  </si>
  <si>
    <t>宇树科技官方网站 / 官方公众号</t>
  </si>
  <si>
    <t>宇树科技</t>
  </si>
  <si>
    <t>—</t>
  </si>
  <si>
    <t>公司官方·待补</t>
  </si>
  <si>
    <t>未取用</t>
  </si>
  <si>
    <t>本次分析未直接引用</t>
  </si>
  <si>
    <t>列入待核验：产品定价、出货量口径、官网披露与招股书差异</t>
  </si>
  <si>
    <t>取数说明：S1、S2 为本底稿的绝对主来源，全部财务与业务数据均逐字提取自该两份 PDF 原文表格，未采用任何媒体转述数值。分析过程中曾出现媒体转述数据与原文冲突的情况（详见表10），均已以 S1/S2 原文为准修正。</t>
  </si>
  <si>
    <t>表2-1 本次发行与上市基本情况（原始披露数据）</t>
  </si>
  <si>
    <t>项目</t>
  </si>
  <si>
    <t>数值</t>
  </si>
  <si>
    <t>数据性质</t>
  </si>
  <si>
    <t>来源</t>
  </si>
  <si>
    <t>【发行方案】</t>
  </si>
  <si>
    <t>每股面值（元）</t>
  </si>
  <si>
    <t>A</t>
  </si>
  <si>
    <t>发行价格（元/股）</t>
  </si>
  <si>
    <t>发行股票数量（股）</t>
  </si>
  <si>
    <t>发行股票数量（万股）</t>
  </si>
  <si>
    <t>新股发行占发行后总股本比例</t>
  </si>
  <si>
    <t>发行前总股本（万股）</t>
  </si>
  <si>
    <t>发行后总股本（股）</t>
  </si>
  <si>
    <t>发行后总股本（万股）</t>
  </si>
  <si>
    <t>是否涉及老股转让</t>
  </si>
  <si>
    <t>否</t>
  </si>
  <si>
    <t>是否行使超额配售选择权</t>
  </si>
  <si>
    <t>【发行方式与结果】</t>
  </si>
  <si>
    <t>最终战略配售数量（股）</t>
  </si>
  <si>
    <t>战略配售占本次发行数量比例</t>
  </si>
  <si>
    <t>网下最终发行数量（股）</t>
  </si>
  <si>
    <t>网下投资者缴款认购（股）</t>
  </si>
  <si>
    <t>网下放弃认购（股）</t>
  </si>
  <si>
    <t>网上最终发行数量（股）</t>
  </si>
  <si>
    <t>网上投资者缴款认购（股）</t>
  </si>
  <si>
    <t>网上放弃认购（股）</t>
  </si>
  <si>
    <t>保荐人（主承销商）包销数量（股）</t>
  </si>
  <si>
    <t>发行后股东户数（户）</t>
  </si>
  <si>
    <t>【募集资金】</t>
  </si>
  <si>
    <t>募集资金总额（万元）</t>
  </si>
  <si>
    <t>发行费用合计（不含增值税，万元）</t>
  </si>
  <si>
    <t>　承销及保荐费（万元）</t>
  </si>
  <si>
    <t>　审计及验资费（万元）</t>
  </si>
  <si>
    <t>　律师费（万元）</t>
  </si>
  <si>
    <t>　用于本次发行的信息披露费（万元）</t>
  </si>
  <si>
    <t>　发行手续费及其他费用（万元）</t>
  </si>
  <si>
    <t>募集资金净额（万元）</t>
  </si>
  <si>
    <t>验资报告</t>
  </si>
  <si>
    <t>容诚验字[2026]230Z0118号（2026年8月14日出具）</t>
  </si>
  <si>
    <t>【发行估值倍数（按发行价150.80元/股）】</t>
  </si>
  <si>
    <t>发行市盈率①：2025年扣非后归母净利 ÷ 发行前总股本</t>
  </si>
  <si>
    <t>S2/S3</t>
  </si>
  <si>
    <t>发行市盈率②：2025年扣非前归母净利 ÷ 发行前总股本</t>
  </si>
  <si>
    <t>发行市盈率③：2025年扣非后归母净利 ÷ 发行后总股本</t>
  </si>
  <si>
    <t>发行市盈率④：2025年扣非前归母净利 ÷ 发行后总股本（公告口径“本次发行市盈率”，按孰低）</t>
  </si>
  <si>
    <t>发行市销率①：2025年营业收入 ÷ 发行前总股本</t>
  </si>
  <si>
    <t>发行市销率②：2025年营业收入 ÷ 发行后总股本（摊薄后静态）</t>
  </si>
  <si>
    <t>发行市净率（发行价 ÷ 发行后每股净资产）</t>
  </si>
  <si>
    <t>发行后每股收益（元/股，按2025年扣非前后孰低归母净利）</t>
  </si>
  <si>
    <t>发行后每股净资产（元/股）</t>
  </si>
  <si>
    <t>按发行价计算的发行后市值（亿元）</t>
  </si>
  <si>
    <t>【行业与可比公司估值参照】</t>
  </si>
  <si>
    <t>所属行业最近一个月平均静态市盈率（倍，截至2026-08-05 T-3日，中证指数）</t>
  </si>
  <si>
    <t>可比公司2025年静态市销率算术平均值（倍，Wind，截至2026-08-05）</t>
  </si>
  <si>
    <t>可比公司选取说明</t>
  </si>
  <si>
    <t>优必选、越疆（港股，按2026-08-05中间价1港元=0.86562人民币折算）；云深处、乐聚智能尚未上市故未纳入</t>
  </si>
  <si>
    <t>估值指标选择原因</t>
  </si>
  <si>
    <t>可比上市公司均未盈利，故选择市销率作为估值对比指标</t>
  </si>
  <si>
    <t>【上市标准与历史估值】</t>
  </si>
  <si>
    <t>适用上市标准</t>
  </si>
  <si>
    <t>《上海证券交易所科创板股票上市规则》第2.1.4条第（一）款：预计市值不低于人民币100亿元（因存在特别表决权安排）</t>
  </si>
  <si>
    <t>2025年6月最近一次市场化股权融资投前估值（亿元）</t>
  </si>
  <si>
    <t>2025年6月最近一次市场化股权融资投后估值（亿元）</t>
  </si>
  <si>
    <t>【中介机构】</t>
  </si>
  <si>
    <t>中信证券股份有限公司（法定代表人 张佑君）</t>
  </si>
  <si>
    <t>保荐代表人</t>
  </si>
  <si>
    <t>高若阳（S1010717030001）、陈熙颖（S1010716040002）</t>
  </si>
  <si>
    <t>审计机构</t>
  </si>
  <si>
    <t>审计报告文号</t>
  </si>
  <si>
    <t>容诚审字[2026]230Z1692号（标准无保留意见）</t>
  </si>
  <si>
    <t>审阅报告文号</t>
  </si>
  <si>
    <t>容诚阅字[2026]230Z0038号（2026年1-3月）</t>
  </si>
  <si>
    <t>战略配售专项核查律师</t>
  </si>
  <si>
    <t>北京市君泽君律师事务所</t>
  </si>
  <si>
    <t>表2-2 上市后二级市场表现（2026-08-19 至 2026-08-28，资料截止日前全部交易日）</t>
  </si>
  <si>
    <t>交易日</t>
  </si>
  <si>
    <t>开盘价(元)</t>
  </si>
  <si>
    <t>收盘价(元)</t>
  </si>
  <si>
    <t>最高价(元)</t>
  </si>
  <si>
    <t>最低价(元)</t>
  </si>
  <si>
    <t>成交量(手)</t>
  </si>
  <si>
    <t>成交额(元)</t>
  </si>
  <si>
    <t>振幅(%)</t>
  </si>
  <si>
    <t>涨跌幅(%)</t>
  </si>
  <si>
    <t>涨跌额(元)</t>
  </si>
  <si>
    <t>换手率(%)</t>
  </si>
  <si>
    <t>2026-08-19</t>
  </si>
  <si>
    <t>2026-08-20</t>
  </si>
  <si>
    <t>2026-08-21</t>
  </si>
  <si>
    <t>2026-08-24</t>
  </si>
  <si>
    <t>2026-08-25</t>
  </si>
  <si>
    <t>2026-08-26</t>
  </si>
  <si>
    <t>2026-08-27</t>
  </si>
  <si>
    <t>口径说明：①上市首日（8月19日）振幅与涨跌幅以前收盘价=发行价150.80元为基准计算，故振幅达198.89%；②8月29日、30日为周末非交易日；③8月31日数据虽已产生，但超出本底稿资料截止日（2026-08-30），故不予纳入；④行情数据来自第三方接口（来源S9），非公司披露，引用时请注明。</t>
  </si>
  <si>
    <t>表3-1 报告期年度主要财务数据（性质A：经容诚会计师事务所审计）</t>
  </si>
  <si>
    <t>单位：人民币万元（每股指标为元/股，比率为小数存储）。列顺序为 2023 / 2024 / 2025 年度，与招股说明书披露顺序一致。</t>
  </si>
  <si>
    <t>单位</t>
  </si>
  <si>
    <t>2023年度</t>
  </si>
  <si>
    <t>2024年度</t>
  </si>
  <si>
    <t>2025年度</t>
  </si>
  <si>
    <t>【一、营业收入与成本】</t>
  </si>
  <si>
    <t>营业收入</t>
  </si>
  <si>
    <t>万元</t>
  </si>
  <si>
    <t>　主营业务收入</t>
  </si>
  <si>
    <t>　其他业务收入</t>
  </si>
  <si>
    <t>营业成本合计</t>
  </si>
  <si>
    <t>　主营业务成本</t>
  </si>
  <si>
    <t>　其他业务成本</t>
  </si>
  <si>
    <t>主营业务毛利</t>
  </si>
  <si>
    <t>【二、期间费用】</t>
  </si>
  <si>
    <t>销售费用</t>
  </si>
  <si>
    <t>管理费用</t>
  </si>
  <si>
    <t>研发费用</t>
  </si>
  <si>
    <t>财务费用</t>
  </si>
  <si>
    <t>期间费用合计</t>
  </si>
  <si>
    <t>【三、其他损益项目】</t>
  </si>
  <si>
    <t>投资收益</t>
  </si>
  <si>
    <t>　其中：理财产品投资收益</t>
  </si>
  <si>
    <t>　其中：债权投资持有期间利息收入</t>
  </si>
  <si>
    <t>公允价值变动收益</t>
  </si>
  <si>
    <t>信用减值损失</t>
  </si>
  <si>
    <t>资产减值损失</t>
  </si>
  <si>
    <t>营业外收入</t>
  </si>
  <si>
    <t>营业外支出</t>
  </si>
  <si>
    <t>【四、利润】</t>
  </si>
  <si>
    <t>营业利润</t>
  </si>
  <si>
    <t>利润总额</t>
  </si>
  <si>
    <t>净利润</t>
  </si>
  <si>
    <t>归属于母公司所有者的净利润</t>
  </si>
  <si>
    <t>扣除非经常性损益后归属于母公司所有者的净利润</t>
  </si>
  <si>
    <t>【五、非经常性损益关键项】</t>
  </si>
  <si>
    <t>股份支付费用（上海宇翼增资，计入管理费用，属非经常性损益）</t>
  </si>
  <si>
    <t>　（参考）2022年上海宇翼增资确认股份支付费用</t>
  </si>
  <si>
    <t>【六、现金流】</t>
  </si>
  <si>
    <t>经营活动产生的现金流量净额</t>
  </si>
  <si>
    <t>【七、资产与权益（期末数）】</t>
  </si>
  <si>
    <t>资产总额</t>
  </si>
  <si>
    <t>　流动资产</t>
  </si>
  <si>
    <t>　非流动资产</t>
  </si>
  <si>
    <t>归属于母公司所有者权益</t>
  </si>
  <si>
    <t>预付款项</t>
  </si>
  <si>
    <t>存货（账面价值）</t>
  </si>
  <si>
    <t>　存货跌价准备</t>
  </si>
  <si>
    <t>现金分红</t>
  </si>
  <si>
    <t>【八、比率指标（招股说明书直接披露）】</t>
  </si>
  <si>
    <t>资产负债率（合并）</t>
  </si>
  <si>
    <t>%</t>
  </si>
  <si>
    <t>资产负债率（母公司）</t>
  </si>
  <si>
    <t>主营业务毛利率</t>
  </si>
  <si>
    <t>综合毛利率</t>
  </si>
  <si>
    <t>加权平均净资产收益率</t>
  </si>
  <si>
    <t>扣非后加权平均净资产收益率</t>
  </si>
  <si>
    <t>研发投入占营业收入比例</t>
  </si>
  <si>
    <t>基本每股收益</t>
  </si>
  <si>
    <t>稀释每股收益</t>
  </si>
  <si>
    <t>应收账款坏账计提比例（公司）</t>
  </si>
  <si>
    <t>应收账款坏账计提比例（同行业平均）</t>
  </si>
  <si>
    <t>【九、人员与知识产权（期末数）】</t>
  </si>
  <si>
    <t>研发人员（人）</t>
  </si>
  <si>
    <t>人</t>
  </si>
  <si>
    <t>员工总数（人）</t>
  </si>
  <si>
    <t>研发人员占员工总数比例</t>
  </si>
  <si>
    <t>境内外注册专利（项，截至2026-01-31）</t>
  </si>
  <si>
    <t>项</t>
  </si>
  <si>
    <t>　其中：境内发明专利（项）</t>
  </si>
  <si>
    <t>表3-2 财务报告审计截止日后主要财务信息：2026年1-3月（性质B：经容诚会计师审阅，未经审计）</t>
  </si>
  <si>
    <t>2025年1-3月</t>
  </si>
  <si>
    <t>同比变动</t>
  </si>
  <si>
    <t>B</t>
  </si>
  <si>
    <t>扣非后归属于母公司所有者的净利润</t>
  </si>
  <si>
    <t>投资活动产生的现金流量净额</t>
  </si>
  <si>
    <t>筹资活动产生的现金流量净额</t>
  </si>
  <si>
    <t>资产总额（期末）</t>
  </si>
  <si>
    <t>负债总额（期末）</t>
  </si>
  <si>
    <t>归属于母公司所有者权益（期末）</t>
  </si>
  <si>
    <t>归属于母公司股东的非经常性损益净额</t>
  </si>
  <si>
    <t>　其中：计入当期损益的政府补助</t>
  </si>
  <si>
    <t>　其中：金融资产公允价值变动及处置损益</t>
  </si>
  <si>
    <t>研发费用同比增加额（招股说明书文字披露）</t>
  </si>
  <si>
    <t>注：资产总额、负债总额、归母权益三行的“2025年1-3月”列实为2025年12月31日期末数，变动比例为较上年末的增减幅（招股说明书原口径）。</t>
  </si>
  <si>
    <t>表3-3 2026年1-6月主要财务数据（性质C：载于上市公告书，未经审计；公司明示上市后不再单独披露2026年半年报）</t>
  </si>
  <si>
    <t>2025年1-6月</t>
  </si>
  <si>
    <t>变动</t>
  </si>
  <si>
    <t>营业总收入</t>
  </si>
  <si>
    <t>C</t>
  </si>
  <si>
    <t>归属于母公司股东的净利润</t>
  </si>
  <si>
    <t>归属于母公司股东的扣除非经常性损益后的净利润</t>
  </si>
  <si>
    <t>扣除非经常性损益后的基本每股收益</t>
  </si>
  <si>
    <t>扣除非经常性损益后的加权净资产收益率</t>
  </si>
  <si>
    <t>每股经营活动产生的现金流量净额</t>
  </si>
  <si>
    <t>流动资产（期末）</t>
  </si>
  <si>
    <t>流动负债（期末）</t>
  </si>
  <si>
    <t>总资产（期末）</t>
  </si>
  <si>
    <t>负债总额（期末）增速</t>
  </si>
  <si>
    <t>资产负债率（母公司）（期末）</t>
  </si>
  <si>
    <t>资产负债率（合并报表）（期末）</t>
  </si>
  <si>
    <t>归属于母公司股东的净资产（期末）</t>
  </si>
  <si>
    <t>归属于母公司股东的每股净资产（期末）</t>
  </si>
  <si>
    <t>研发费用同比增加额（上市公告书文字披露）</t>
  </si>
  <si>
    <t>口径提示：本表“2025年1-6月”列为上年同期数；“变动”列中，标注为“两期差值(百分点)”的指标为绝对差值而非比率，与上市公告书注释“涉及百分比的指标，变动比例为两期数的差值”一致。归母净利润因上年同期为亏损（受34,906.55万元股份支付费用影响），同比变动率不具可比性，公告书以“-”列示。</t>
  </si>
  <si>
    <t>表3-4 【预测数据·非事实】招股说明书披露的2026年1-6月财务数据预计（性质D：管理层估计，未经审计或审阅，不构成盈利预测或业绩承诺）</t>
  </si>
  <si>
    <t>预计下限</t>
  </si>
  <si>
    <t>预计上限</t>
  </si>
  <si>
    <t>2025年1-6月(比较基数)</t>
  </si>
  <si>
    <t>D</t>
  </si>
  <si>
    <t>招股说明书原文：“上述2026年1-6月财务数据预计为管理层对经营状况的合理估计，不代表公司最终实现的营业收入及净利润，相关数据未经会计师审计或审阅，不构成公司的盈利预测或业绩承诺。”——本行数据在任何情况下不得表述为已实现业绩。实际实现数见表3-3（性质C）及表7-8的对比分析。</t>
  </si>
  <si>
    <t>表4-1 主营业务收入按产品类别构成（性质A：经审计；单位：万元）</t>
  </si>
  <si>
    <t>产品分类</t>
  </si>
  <si>
    <t>2023收入</t>
  </si>
  <si>
    <t>2023占比</t>
  </si>
  <si>
    <t>2024收入</t>
  </si>
  <si>
    <t>2024占比</t>
  </si>
  <si>
    <t>2025收入</t>
  </si>
  <si>
    <t>2025占比</t>
  </si>
  <si>
    <t>四足机器人</t>
  </si>
  <si>
    <t>人形机器人</t>
  </si>
  <si>
    <t>机器人组件</t>
  </si>
  <si>
    <t>其他</t>
  </si>
  <si>
    <t>主营业务收入合计</t>
  </si>
  <si>
    <t>表4-2 主营业务成本按产品类别构成（性质A；单位：万元）</t>
  </si>
  <si>
    <t>2023成本</t>
  </si>
  <si>
    <t>2024成本</t>
  </si>
  <si>
    <t>2025成本</t>
  </si>
  <si>
    <t>主营业务成本合计</t>
  </si>
  <si>
    <t>表4-3 主要产品销售量与平均单价（性质A）</t>
  </si>
  <si>
    <t>产品 / 指标</t>
  </si>
  <si>
    <t>2023</t>
  </si>
  <si>
    <t>2024</t>
  </si>
  <si>
    <t>2024变动</t>
  </si>
  <si>
    <t>2025</t>
  </si>
  <si>
    <t>2025变动</t>
  </si>
  <si>
    <t>四足机器人 销量</t>
  </si>
  <si>
    <t>台</t>
  </si>
  <si>
    <t>四足机器人 平均单价</t>
  </si>
  <si>
    <t>万元/台</t>
  </si>
  <si>
    <t>四足机器人 销售收入</t>
  </si>
  <si>
    <t>人形机器人 销量</t>
  </si>
  <si>
    <t>人形机器人 平均单价</t>
  </si>
  <si>
    <t>人形机器人 销售收入</t>
  </si>
  <si>
    <t>口径差异提示（重要）：招股说明书“第二节 概览”称2025年度公司人形机器人“出货量已超5,500台（纯人形，不含轮式双臂机器人），出货量全球第一”；而“第六节 财务会计信息”主营业务收入口径下2025年人形机器人“销量”为5,215台。两者相差约300台，系“出货量”与“确认收入销量”的口径差异（可能含发出商品、样机、期后确认等）。引用“全球第一”表述时必须使用出货量口径并注明，进行收入测算时必须使用5,215台销量口径。详见表10待核验事项。</t>
  </si>
  <si>
    <t>表4-4 主营业务收入按市场区域构成（性质A；单位：万元）</t>
  </si>
  <si>
    <t>区域</t>
  </si>
  <si>
    <t>境内销售</t>
  </si>
  <si>
    <t>境外销售</t>
  </si>
  <si>
    <t>合计</t>
  </si>
  <si>
    <t>招股说明书解释：2023—2024年境外收入占比略高于境内，显示产品在海外市场认可度较高；2025年境内占比大幅提升至56.35%，主要系2025年年初春晚演出提升全国品牌知名度，以及国内人工智能与机器人产业快速发展与政策支持带动科研教育、商业消费、行业应用客户采购需求。</t>
  </si>
  <si>
    <t>表4-5 主营业务收入按季度构成（性质A；单位：万元）</t>
  </si>
  <si>
    <t>季度</t>
  </si>
  <si>
    <t>第一季度</t>
  </si>
  <si>
    <t>第二季度</t>
  </si>
  <si>
    <t>第三季度</t>
  </si>
  <si>
    <t>第四季度</t>
  </si>
  <si>
    <t>季节性：新产品多在下半年陆续形成收入并于第四季度形成规模收入；部分客户实行集中采购、预算管理，采购或验收多发生在第四季度，故各年四季度收入占比相对较高。</t>
  </si>
  <si>
    <t>表4-6 主营业务收入按销售模式构成（性质A；单位：万元）</t>
  </si>
  <si>
    <t>销售模式</t>
  </si>
  <si>
    <t>线上销售</t>
  </si>
  <si>
    <t>　其中：直接销售</t>
  </si>
  <si>
    <t>　其中：电商入仓</t>
  </si>
  <si>
    <t>线下销售</t>
  </si>
  <si>
    <t>　其中：直销</t>
  </si>
  <si>
    <t>　其中：经销</t>
  </si>
  <si>
    <t>表4-7 主营业务成本按生产要素构成（性质A；单位：万元）</t>
  </si>
  <si>
    <t>生产要素</t>
  </si>
  <si>
    <t>直接材料</t>
  </si>
  <si>
    <t>直接人工</t>
  </si>
  <si>
    <t>制造费用</t>
  </si>
  <si>
    <t>招股说明书解释：2025年直接材料占比大幅上升、直接人工及制造费用占比下降，原因包括（1）规模优势凸显、生产工序标准化与人员熟练度提升带来生产效率提高；（2）材料成本占比较高的人形机器人收入占比由27.68%升至51.78%，拉高了直接材料整体占比。</t>
  </si>
  <si>
    <t>表4-8 分产品毛利率（招股说明书披露口径）</t>
  </si>
  <si>
    <t>2023毛利率</t>
  </si>
  <si>
    <t>2024毛利率</t>
  </si>
  <si>
    <t>2025毛利率</t>
  </si>
  <si>
    <t>披露方式</t>
  </si>
  <si>
    <t>招股说明书直接披露</t>
  </si>
  <si>
    <t>四足机器人、人形机器人的分产品毛利率招股说明书未以百分比直接列示，本底稿在表7-3中依据表4-1收入与表4-2成本用公式计算得出（计算结果标记为性质E·测算）。</t>
  </si>
  <si>
    <t>表5-1 报告期前五大客户（性质A；单位：万元）</t>
  </si>
  <si>
    <t>年度</t>
  </si>
  <si>
    <t>序号</t>
  </si>
  <si>
    <t>客户名称</t>
  </si>
  <si>
    <t>销售金额</t>
  </si>
  <si>
    <t>占营业收入比例</t>
  </si>
  <si>
    <t>境外客户N（欧洲）</t>
  </si>
  <si>
    <t>京东集团股份有限公司</t>
  </si>
  <si>
    <t>境外客户A（亚洲）</t>
  </si>
  <si>
    <t>北京朝元时代科技有限公司</t>
  </si>
  <si>
    <t>境外客户B（亚洲）</t>
  </si>
  <si>
    <t>前五大客户合计</t>
  </si>
  <si>
    <t>境外客户Q（北美洲）</t>
  </si>
  <si>
    <t>境外客户C（欧洲）</t>
  </si>
  <si>
    <t>境内客户A1</t>
  </si>
  <si>
    <t>境外客户D（北美洲）</t>
  </si>
  <si>
    <t>招股说明书结论：①销售金额对受同一实际控制人控制的客户合并计算；②不存在向单个客户销售比例超过营业收入50%的情形；③公司与报告期内前五大客户均不存在关联关系。客户集中度三年稳定在12%—13%区间，无单一大客户依赖。</t>
  </si>
  <si>
    <t>表5-2 同行业可比公司营业收入与综合毛利率对比（性质A；单位：万元）</t>
  </si>
  <si>
    <t>公司名称</t>
  </si>
  <si>
    <t>2023营业收入</t>
  </si>
  <si>
    <t>2024营业收入</t>
  </si>
  <si>
    <t>2025营业收入</t>
  </si>
  <si>
    <t>优必选</t>
  </si>
  <si>
    <t>越疆</t>
  </si>
  <si>
    <t>云深处</t>
  </si>
  <si>
    <t>乐聚智能</t>
  </si>
  <si>
    <t>可比公司平均值</t>
  </si>
  <si>
    <t>宇树科技（公司）</t>
  </si>
  <si>
    <t>可比公司主要产品：优必选—人形机器人/教育/物流/消费类（2025年人形机器人收入占比由上年2.7%升至41.1%）；越疆—协作机器人（人形机器人收入占比未超5%）；云深处—四足及轮足机器人（人形占比未超5%）；乐聚智能—2023/2024年以教育市场中小型人形机器人为主，2025年全尺寸人形机器人成为主要收入来源。招股说明书认为公司综合毛利率高于同行业公司具合理性，主因全栈自研自产降低硬件成本、规模效应，以及产品构成差异。</t>
  </si>
  <si>
    <t>表5-3 应收账款预期信用损失计提比例对比（性质A）</t>
  </si>
  <si>
    <t>证券简称</t>
  </si>
  <si>
    <t>2023-12-31</t>
  </si>
  <si>
    <t>2024-12-31</t>
  </si>
  <si>
    <t>2025-12-31</t>
  </si>
  <si>
    <t>平均值</t>
  </si>
  <si>
    <t>公司计提比例低于同行业平均水平，招股说明书解释为应收账款账龄相对较短、周转率相对较快、回款情况良好。此为分析中需保持关注的会计估计差异点（详见表9结论与表10待核验）。</t>
  </si>
  <si>
    <t>表5-4 2025年末应收账款账面余额前五名（性质A；单位：万元）</t>
  </si>
  <si>
    <t>单位名称</t>
  </si>
  <si>
    <t>期末余额</t>
  </si>
  <si>
    <t>占应收账款余额比例</t>
  </si>
  <si>
    <t>坏账准备</t>
  </si>
  <si>
    <t>账龄</t>
  </si>
  <si>
    <t>北京京东世纪贸易有限公司</t>
  </si>
  <si>
    <t>1年以内</t>
  </si>
  <si>
    <t>境外客户Y（北美洲）</t>
  </si>
  <si>
    <t>杭州市消防救援支队</t>
  </si>
  <si>
    <t>上海柔克智能科技有限公司</t>
  </si>
  <si>
    <t>境外客户W（亚洲）</t>
  </si>
  <si>
    <t>由前五大应收账款余额占比28.59%可反推2025年末应收账款账面余额约6,196万元（测算，性质E）；该反推值未经招股说明书直接披露，正式引用前需核对招股说明书“应收账款”小节原文（见表10）。</t>
  </si>
  <si>
    <t>表6-1 本次发行前后股本结构（性质A；单位：万股）</t>
  </si>
  <si>
    <t>股东名称</t>
  </si>
  <si>
    <t>发行前股份数(万股)</t>
  </si>
  <si>
    <t>发行前持股比例</t>
  </si>
  <si>
    <t>发行后股份数(万股)</t>
  </si>
  <si>
    <t>发行后持股比例</t>
  </si>
  <si>
    <t>上海宇翼（员工持股平台）</t>
  </si>
  <si>
    <t>汉海信息</t>
  </si>
  <si>
    <t>宁波红杉</t>
  </si>
  <si>
    <t>Astrend IV</t>
  </si>
  <si>
    <t>经纬壹号</t>
  </si>
  <si>
    <t>金石成长</t>
  </si>
  <si>
    <t>机器人基金</t>
  </si>
  <si>
    <t>嘉兴骅茂</t>
  </si>
  <si>
    <t>君万弘毅</t>
  </si>
  <si>
    <t>源码资本</t>
  </si>
  <si>
    <t>中网投</t>
  </si>
  <si>
    <t>Vertex</t>
  </si>
  <si>
    <t>宁波睿利</t>
  </si>
  <si>
    <t>海克斯康</t>
  </si>
  <si>
    <t>新疆深创投</t>
  </si>
  <si>
    <t>光合贰期</t>
  </si>
  <si>
    <t>经纬叁号</t>
  </si>
  <si>
    <t>浙江容腾</t>
  </si>
  <si>
    <t>Galaxy Z</t>
  </si>
  <si>
    <t>成都龙珠</t>
  </si>
  <si>
    <t>中关村科学城</t>
  </si>
  <si>
    <t>容腾二号</t>
  </si>
  <si>
    <t>厦门雅恒</t>
  </si>
  <si>
    <t>极思投资</t>
  </si>
  <si>
    <t>德迅投资</t>
  </si>
  <si>
    <t>广州初心</t>
  </si>
  <si>
    <t>杭州初心</t>
  </si>
  <si>
    <t>中移和创</t>
  </si>
  <si>
    <t>腾讯科技</t>
  </si>
  <si>
    <t>无锡锦秋</t>
  </si>
  <si>
    <t>琥珀安云</t>
  </si>
  <si>
    <t>江苏疌泉</t>
  </si>
  <si>
    <t>杭州灏月</t>
  </si>
  <si>
    <t>创新资本</t>
  </si>
  <si>
    <t>上海科创</t>
  </si>
  <si>
    <t>中证投资</t>
  </si>
  <si>
    <t>深创投集团</t>
  </si>
  <si>
    <t>天津算力</t>
  </si>
  <si>
    <t>祥峰厦门</t>
  </si>
  <si>
    <t>上海云玚</t>
  </si>
  <si>
    <t>钧石创投</t>
  </si>
  <si>
    <t>合创投资</t>
  </si>
  <si>
    <t>光越投资</t>
  </si>
  <si>
    <t>潍坊初心</t>
  </si>
  <si>
    <t>上海米达</t>
  </si>
  <si>
    <t>本次公开发行股份</t>
  </si>
  <si>
    <t>特别表决权安排（性质A，来源S1）</t>
  </si>
  <si>
    <t>说明</t>
  </si>
  <si>
    <t>特别表决权设置时点</t>
  </si>
  <si>
    <t>2025年5月16日</t>
  </si>
  <si>
    <t>公司召开杭州宇树科技股份有限公司成立大会暨第一次临时股东会，表决通过《关于&lt;股份公司关于设置特别表决权股份的方案&gt;的议案》</t>
  </si>
  <si>
    <t>王兴兴发行前直接持股比例</t>
  </si>
  <si>
    <t>直接持有8,671.4964万股，为公司控股股东</t>
  </si>
  <si>
    <t>王兴兴发行前直接持股部分表决权比例</t>
  </si>
  <si>
    <t>特别表决权安排下</t>
  </si>
  <si>
    <t>王兴兴发行前合计控制表决权比例</t>
  </si>
  <si>
    <t>直接持股表决权 + 通过杭州天则控制的上海宇翼员工股权激励持股平台</t>
  </si>
  <si>
    <t>王兴兴发行后直接持股比例</t>
  </si>
  <si>
    <t>股份数不变，因新股发行摊薄</t>
  </si>
  <si>
    <t>王兴兴发行后合计控制表决权比例</t>
  </si>
  <si>
    <t>本次发行不会造成公司实际控制人变更</t>
  </si>
  <si>
    <t>上海宇翼发行前持股比例</t>
  </si>
  <si>
    <t>员工股权激励持股平台，2022年1月与2025年6月先后两次对公司增资</t>
  </si>
  <si>
    <t>发行前前十名股东合计持股(万股)</t>
  </si>
  <si>
    <t>占发行前总股本71.5041%</t>
  </si>
  <si>
    <t>表6-2 最终战略配售结果（性质A，来源S2；获配金额单位：元）</t>
  </si>
  <si>
    <t>参与战略配售的投资者名称</t>
  </si>
  <si>
    <t>投资者类型</t>
  </si>
  <si>
    <t>获配股数(股)</t>
  </si>
  <si>
    <t>占本次发行数量比例</t>
  </si>
  <si>
    <t>获配金额(元)</t>
  </si>
  <si>
    <t>限售期</t>
  </si>
  <si>
    <t>全国社会保障基金理事会</t>
  </si>
  <si>
    <t>具有长期投资意愿的大型保险公司或其下属企业、国家级大型投资基金或其下属企业</t>
  </si>
  <si>
    <t>12个月</t>
  </si>
  <si>
    <t>1-1</t>
  </si>
  <si>
    <t>　全国社保基金六零一组合</t>
  </si>
  <si>
    <t>同上（明细）</t>
  </si>
  <si>
    <t>1-2</t>
  </si>
  <si>
    <t>　全国社保基金五零二组合</t>
  </si>
  <si>
    <t>1-3</t>
  </si>
  <si>
    <t>　全国社保基金一零九组合</t>
  </si>
  <si>
    <t>杭州深度求索人工智能基础技术研究有限公司</t>
  </si>
  <si>
    <t>与发行人经营业务具有战略合作关系或长期合作愿景的大型企业或其下属企业</t>
  </si>
  <si>
    <t>36个月</t>
  </si>
  <si>
    <t>中国石油集团昆仑资本有限公司</t>
  </si>
  <si>
    <t>同上</t>
  </si>
  <si>
    <t>南方电网产融控股集团有限公司</t>
  </si>
  <si>
    <t>天翼资本控股有限公司</t>
  </si>
  <si>
    <t>上海启善投资有限公司（腾讯科技（上海）有限公司）</t>
  </si>
  <si>
    <t>自腾讯科技（上海）首次取得发行人股份之日起36个月及自上市之日起12个月，以孰晚为准</t>
  </si>
  <si>
    <t>中信证券投资有限公司</t>
  </si>
  <si>
    <t>参与科创板跟投的保荐人相关子公司</t>
  </si>
  <si>
    <t>24个月</t>
  </si>
  <si>
    <t>宇树科技员工1号资管计划</t>
  </si>
  <si>
    <t>发行人高级管理人员与核心员工参与战略配售设立的专项资产管理计划</t>
  </si>
  <si>
    <t>宇树科技员工2号资管计划</t>
  </si>
  <si>
    <t>最终战略配售</t>
  </si>
  <si>
    <t>占本次发行数量20.00%</t>
  </si>
  <si>
    <t>员工资管计划补充信息（来源S2）：1号计划全称“中信证券资管宇树科技员工参与科创板战略配售1号集合资产管理计划”，设立于2026年6月29日，备案2026年7月10日，募集资金规模20,450万元，参与认购的发行人核心员工159名；2号计划设立于2026年7月2日，募集资金规模6,700万元，参与认购的高级管理人员和核心员工12名。两个计划的管理人及实际支配主体均为中信证券资产管理有限公司，非发行人高级管理人员及核心员工。保荐人跟投：发行规模50亿元以上，跟投比例2%，中证投资获配808,928股、金额121,986,342.40元。序号1-1至1-3为序号1的明细组合，不参与合计（合计口径已由公告给出）。</t>
  </si>
  <si>
    <t>表6-3 募集资金投资项目（性质A，来源S1；单位：万元）</t>
  </si>
  <si>
    <t>项目名称</t>
  </si>
  <si>
    <t>项目投资总额</t>
  </si>
  <si>
    <t>拟使用募集资金</t>
  </si>
  <si>
    <t>占拟募资比例</t>
  </si>
  <si>
    <t>智能机器人模型研发项目</t>
  </si>
  <si>
    <t>机器人本体研发项目</t>
  </si>
  <si>
    <t>新型智能机器人产品开发项目</t>
  </si>
  <si>
    <t>智能机器人制造基地建设项目</t>
  </si>
  <si>
    <t>研发类项目（序号1+2+3）合计拟投入357,759.73万元，占拟募资总额85.15%；其中“智能机器人模型研发项目”单项占比48.13%，对应公司自研通用WMA模型与VLA模型等具身智能大模型方向。制造基地建设项目占比14.85%。募投项目已经公司第一届董事会第十四次会议、2026年第一次临时股东会审议通过。</t>
  </si>
  <si>
    <t>表6-4 发行费用明细（性质A，来源S2；单位：万元，不含增值税）</t>
  </si>
  <si>
    <t>内容</t>
  </si>
  <si>
    <t>发行费用金额(不含税)</t>
  </si>
  <si>
    <t>占发行费用比例</t>
  </si>
  <si>
    <t>占募集资金总额比例</t>
  </si>
  <si>
    <t>承销及保荐费</t>
  </si>
  <si>
    <t>审计及验资费</t>
  </si>
  <si>
    <t>律师费</t>
  </si>
  <si>
    <t>用于本次发行的信息披露费</t>
  </si>
  <si>
    <t>发行手续费及其他费用</t>
  </si>
  <si>
    <t>公告书注：以上发行费用口径均不含增值税金额，合计数与各分项数值之和尾数存在微小差异，为四舍五入造成。</t>
  </si>
  <si>
    <t>核心计算表（全部由公式实时引用『02–06 原始数据』表，修改原始数据即自动重算）</t>
  </si>
  <si>
    <t>本表所有数值单元格均为 Excel 公式而非硬编码（唯一例外为文字性说明）。计算结果的数据性质统一标记为“E·测算”，但公式所引用输入项的性质（A经审计 / B经审阅 / C未经审计 / D管理层预计）在“输入项性质”列中逐项保留，以免将预测数或未审计数误作已审计事实使用。单位统一为人民币万元（每股/单价指标为元，比率以小数存储、百分比格式显示）。</t>
  </si>
  <si>
    <t>表7-1　成长性指标（营业收入与利润增速、复合增长率）</t>
  </si>
  <si>
    <t>指标</t>
  </si>
  <si>
    <t>输入项性质</t>
  </si>
  <si>
    <t>计算口径与公式说明</t>
  </si>
  <si>
    <t>勾稽校验</t>
  </si>
  <si>
    <t>营业收入同比增速</t>
  </si>
  <si>
    <t>A / B / C</t>
  </si>
  <si>
    <t>本期营业收入 ÷ 上年同期营业收入 − 1；年度列为2024、2025年同比</t>
  </si>
  <si>
    <t>Q1、H1列应与招股书/公告书披露的68.49%、48.54%一致</t>
  </si>
  <si>
    <t>主营业务收入同比增速</t>
  </si>
  <si>
    <t>未披露</t>
  </si>
  <si>
    <t>表4-1主营业务收入合计的同比增速</t>
  </si>
  <si>
    <t>归母净利润同比增速</t>
  </si>
  <si>
    <t>不可比</t>
  </si>
  <si>
    <t>H1列标记“不可比”：2025年1-6月归母净利润为−3,202.45万元（受34,906.55万元股份支付费用影响），基数为负，同比增速无经济意义，上市公告书亦以“-”列示</t>
  </si>
  <si>
    <t>扣非归母净利润同比增速</t>
  </si>
  <si>
    <t>扣非口径剔除了股份支付等非经常性项目，是本期最可比的盈利增速指标</t>
  </si>
  <si>
    <t>H1列应与公告书披露的−19.34%一致</t>
  </si>
  <si>
    <t>经营活动现金流净额同比增速</t>
  </si>
  <si>
    <t>经营活动产生的现金流量净额同比</t>
  </si>
  <si>
    <t>H1列应与公告书披露的−32.53%一致</t>
  </si>
  <si>
    <t>人形机器人收入同比增速</t>
  </si>
  <si>
    <t>表4-1人形机器人主营业务收入同比</t>
  </si>
  <si>
    <t>四足机器人收入同比增速</t>
  </si>
  <si>
    <t>表4-1四足机器人主营业务收入同比</t>
  </si>
  <si>
    <t>营业收入两年复合增长率（2023→2025，CAGR）</t>
  </si>
  <si>
    <t>(2025年营业收入 ÷ 2023年营业收入)^(1/2) − 1</t>
  </si>
  <si>
    <t>科创属性指标之一，应与招股书披露的226.78%一致</t>
  </si>
  <si>
    <t>主营业务收入两年CAGR（2023→2025）</t>
  </si>
  <si>
    <t>(2025年主营收入 ÷ 2023年主营收入)^(1/2) − 1</t>
  </si>
  <si>
    <t>扣非归母净利润增速（2023年基期为亏损，两年CAGR不适用）</t>
  </si>
  <si>
    <t>2023年扣非归母净利润为−1,801.91万元（亏损），任何以2023年为基期的CAGR或增速均无增长解释力，且对负值比值开平方会返回 #VALUE!，故本行以 IF 守卫：基期&gt;0 才计算，否则显示“N/M”。D列为2024→2025年增速（基期7,847.65万元为正，可计算，约+652.78%）；C列为2023→2024年增速（N/M）。</t>
  </si>
  <si>
    <t>口径受限：论证成长性应引用营业收入CAGR（226.78%），不得引用扣非净利CAGR</t>
  </si>
  <si>
    <t>重要口径提示：2026年1-3月数据来源为招股说明书（性质B，经会计师审阅）；2026年1-6月数据来源为上市公告书（性质C，未经审计）。两者不属于同一保证等级，纵向拼接时必须标注。公司已在上市公告书中明示“本次发行上市后，公司将不再另行披露2026年半年度报告”，故2026年上半年数据在本底稿资料截止日（2026-08-30）之前不存在经审计版本。</t>
  </si>
  <si>
    <t>表7-2　盈利能力与费用结构</t>
  </si>
  <si>
    <t>综合毛利率（测算）</t>
  </si>
  <si>
    <t>(营业收入 − 营业成本合计) ÷ 营业收入</t>
  </si>
  <si>
    <t>应与招股书披露的44.75%/57.22%/60.44%一致</t>
  </si>
  <si>
    <t>综合毛利率（招股书披露）</t>
  </si>
  <si>
    <t>直接引用表3-1披露值，与上一行互为校验</t>
  </si>
  <si>
    <t>差异应为0</t>
  </si>
  <si>
    <t>主营业务毛利率（测算）</t>
  </si>
  <si>
    <t>主营业务毛利 ÷ 主营业务收入</t>
  </si>
  <si>
    <t>应与披露的44.22%/56.74%/60.13%一致</t>
  </si>
  <si>
    <t>营业利润率</t>
  </si>
  <si>
    <t>营业利润 ÷ 营业收入</t>
  </si>
  <si>
    <t>归母净利率</t>
  </si>
  <si>
    <t>归属于母公司所有者的净利润 ÷ 营业收入</t>
  </si>
  <si>
    <t>扣非归母净利率</t>
  </si>
  <si>
    <t>扣非后归母净利润 ÷ 营业收入；剔除股份支付等一次性项目后的真实盈利水平</t>
  </si>
  <si>
    <t>本行是评估盈利质量的核心指标</t>
  </si>
  <si>
    <t>销售费用率</t>
  </si>
  <si>
    <t>销售费用 ÷ 营业收入</t>
  </si>
  <si>
    <t>管理费用率</t>
  </si>
  <si>
    <t>管理费用 ÷ 营业收入（2025年含股份支付费用34,906.55万元）</t>
  </si>
  <si>
    <t>管理费用率（剔除股份支付费用）</t>
  </si>
  <si>
    <t>A + E</t>
  </si>
  <si>
    <t>2025年 = (管理费用 − 股份支付费用) ÷ 营业收入。股份支付为2025年6月上海宇翼增资一次性确认，全额计入管理费用，无现金流出，属非经常性损益；2023、2024年无该项，公式退化为普通管理费用率</t>
  </si>
  <si>
    <t>剔除后2025年管理费用率约2.97%，低于2024年的6.37%，说明费用控制并未恶化</t>
  </si>
  <si>
    <t>研发费用率</t>
  </si>
  <si>
    <t>研发费用 ÷ 营业收入</t>
  </si>
  <si>
    <t>应与披露的31.39%/17.83%/8.53%一致</t>
  </si>
  <si>
    <t>财务费用率</t>
  </si>
  <si>
    <t>财务费用 ÷ 营业收入；2023—2024年为负数（利息收入大于支出），2025年转正</t>
  </si>
  <si>
    <t>期间费用率合计</t>
  </si>
  <si>
    <t>期间费用合计 ÷ 营业收入</t>
  </si>
  <si>
    <t>加权平均净资产收益率（披露）</t>
  </si>
  <si>
    <t>A / C</t>
  </si>
  <si>
    <t>直接引用披露值。2026H1为9.99%（性质C，未经审计）</t>
  </si>
  <si>
    <t>扣非后加权平均净资产收益率（披露）</t>
  </si>
  <si>
    <t>2025年扣非ROE 28.70%显著高于扣非前13.52%，差额即股份支付费用的影响</t>
  </si>
  <si>
    <t>2026H1为8.90%，同比下降12.12个百分点</t>
  </si>
  <si>
    <t>期末净资产收益率（简单口径，测算）</t>
  </si>
  <si>
    <t>归母净利润 ÷ 期末归母权益。与加权平均ROE口径不同（未做时间加权），仅作横向比较参考</t>
  </si>
  <si>
    <t>口径不同，不应与披露的加权ROE直接比较</t>
  </si>
  <si>
    <t>有效所得税率</t>
  </si>
  <si>
    <t>(利润总额 − 净利润) ÷ 利润总额。2023年利润总额为负，公式返回“不适用”；2026Q1净利润高于利润总额（所得税费用为负），结果为负值，属税收优惠/递延所得税影响</t>
  </si>
  <si>
    <t>2024年约5.11%、2025年约24.49%，差异主要来自股份支付费用的税前扣除限制及优惠税率适用期间</t>
  </si>
  <si>
    <t>非经常性损益净额（归母 − 扣非）</t>
  </si>
  <si>
    <t>归母净利润减去扣非归母净利润。2025年为−31,254.23万元（负数），即非经常性项目净损失，主因是34,906.55万元股份支付费用</t>
  </si>
  <si>
    <t>2026Q1测算值应精确等于披露的非经常性损益净额976.02万元，构成闭环校验</t>
  </si>
  <si>
    <t>披露的非经常性损益净额（校验用）</t>
  </si>
  <si>
    <t>A / B</t>
  </si>
  <si>
    <t>表3-2直接披露值，与上一行2026Q1测算值比对</t>
  </si>
  <si>
    <t>两值必须相等，否则说明归母/扣非取数有误</t>
  </si>
  <si>
    <t>表7-3　分产品毛利率与收入结构（依据表4-1收入、表4-2成本用公式测算）</t>
  </si>
  <si>
    <t>2025收入占比</t>
  </si>
  <si>
    <t>2025毛利贡献占比</t>
  </si>
  <si>
    <t>毛利率三年变动(百分点)</t>
  </si>
  <si>
    <t>毛利率 = (该产品主营收入 − 该产品主营成本) ÷ 该产品主营收入；毛利贡献占比 = 该产品毛利 ÷ 主营业务毛利合计</t>
  </si>
  <si>
    <t>机器人组件行应与招股书直接披露的48.76%/56.94%/59.36%一致</t>
  </si>
  <si>
    <t>主营业务合计</t>
  </si>
  <si>
    <t>合计毛利率 = (主营收入合计 − 主营成本合计) ÷ 主营收入合计</t>
  </si>
  <si>
    <t>应与表7-2“主营业务毛利率（测算）”一致</t>
  </si>
  <si>
    <t>结构性发现：人形机器人2023年毛利率高达87.67%，但当年仅销售5台（收入296.71万元），属小批量样机性质，不具代表性；随着2024年放量至412台、2025年放量至5,215台，毛利率回落至69.26%、63.18%，呈现典型的“新品溢价→规模定价”曲线。同期四足机器人毛利率由43.71%提升至51.65%、56.72%（规模效应与成本下探），两者走势相反，说明公司整体毛利率上行（44.75%→60.44%）主要由高毛利的人形机器人收入占比提升（1.88%→51.78%）驱动，而非单一产品盈利能力的普遍改善。</t>
  </si>
  <si>
    <t>表7-4　销售量与平均单价对收入变动的贡献拆解（量价分析）</t>
  </si>
  <si>
    <t>拆解项</t>
  </si>
  <si>
    <t>四足2024</t>
  </si>
  <si>
    <t>四足2025</t>
  </si>
  <si>
    <t>人形2024</t>
  </si>
  <si>
    <t>人形2025</t>
  </si>
  <si>
    <t>收入变动总额</t>
  </si>
  <si>
    <t>本期该产品主营业务收入 − 上期该产品主营业务收入</t>
  </si>
  <si>
    <t>其中：销量变动贡献</t>
  </si>
  <si>
    <t>(本期销量 − 上期销量) × 上期平均单价；上期平均单价按“上期收入 ÷ 上期销量”现场计算</t>
  </si>
  <si>
    <t>与招股书披露的2025年四足51,371.57万元、人形125,085.09万元核对</t>
  </si>
  <si>
    <t>其中：单价变动贡献</t>
  </si>
  <si>
    <t>本期销量 × (本期平均单价 − 上期平均单价)；本期平均单价按“本期收入 ÷ 本期销量”现场计算</t>
  </si>
  <si>
    <t>与招股书披露的2025年四足−4,663.39万元、人形−49,031.66万元核对</t>
  </si>
  <si>
    <t>拆解合计校验（销量贡献 + 单价贡献）</t>
  </si>
  <si>
    <t>E</t>
  </si>
  <si>
    <t>应与本表第49行“收入变动总额”完全相等（量价拆解闭合性检验）</t>
  </si>
  <si>
    <t>差异应为0；若不为0说明销量或收入取数有误</t>
  </si>
  <si>
    <t>销量贡献占收入变动比例</t>
  </si>
  <si>
    <t>销量变动贡献 ÷ 收入变动总额；超过100%表示单价变动为负向拖累</t>
  </si>
  <si>
    <t>2025年四足约109.98%、人形约164.47%，与招股书披露一致</t>
  </si>
  <si>
    <t>披露的平均单价（四舍五入值，仅作对照）</t>
  </si>
  <si>
    <t>招股书直接披露的四舍五入单价（D列为2024、F列为2025）；用该值拆解会产生微小尾差，故上方测算不使用本行</t>
  </si>
  <si>
    <t>测算的平均单价（收入 ÷ 销量，精确值）</t>
  </si>
  <si>
    <t>四足2024约3.2307、四足2025约3.0283；人形2024约26.0431、人形2025约16.6410</t>
  </si>
  <si>
    <t>与披露的四舍五入单价一致（差异&lt;0.01万元/台）</t>
  </si>
  <si>
    <t>量价拆解结论：两大产品线2025年的收入增长均由销量驱动、并被单价下行部分抵消。四足机器人销量贡献+51,371.57万元（占变动额109.98%）、单价拖累−4,663.39万元（−9.98%）；人形机器人销量贡献+125,085.09万元（占164.47%）、单价拖累−49,031.66万元（−64.47%）。人形机器人平均单价由2023年59.34万元/台降至2025年16.64万元/台（累计降幅71.96%），是公司主动价格下探以换取市场规模的直接证据，也是未来毛利率能否维持60%以上的关键变量。</t>
  </si>
  <si>
    <t>表7-5　现金流质量、营运能力与资产结构</t>
  </si>
  <si>
    <t>数据质量提示</t>
  </si>
  <si>
    <t>经营活动现金流净额 ÷ 营业收入</t>
  </si>
  <si>
    <t>衡量收入的现金含量（收现比）</t>
  </si>
  <si>
    <t>2023年仅3.11%，2024年跃升至约48.98%，2025年约39.43%，2026H1降至20.09%（半年口径，未年化）</t>
  </si>
  <si>
    <t>净现比：经营现金流净额 ÷ 扣非归母净利润</t>
  </si>
  <si>
    <t>倍</t>
  </si>
  <si>
    <t>扣非净利润的现金保障倍数，&gt;1 表示利润有充足现金支撑</t>
  </si>
  <si>
    <t>2023年扣非为亏损，返回“不适用”</t>
  </si>
  <si>
    <t>净现比：经营现金流净额 ÷ 归母净利润</t>
  </si>
  <si>
    <t>归母净利润的现金保障倍数。2025年该倍数（约2.41倍）远高于扣非口径（约1.13倍），差额正是股份支付费用“减少账面利润但不流出现金”的结果</t>
  </si>
  <si>
    <t>重要分析线索</t>
  </si>
  <si>
    <t>总资产周转率</t>
  </si>
  <si>
    <t>次</t>
  </si>
  <si>
    <t>期初数未披露</t>
  </si>
  <si>
    <t>期初数不足</t>
  </si>
  <si>
    <t>营业收入 ÷ 平均资产总额。2026H1列为半年数，未年化，不可与年度值直接比较</t>
  </si>
  <si>
    <t>2024年约0.41次、2025年约0.72次，资产使用效率显著提升</t>
  </si>
  <si>
    <t>资产负债率（合并，测算）</t>
  </si>
  <si>
    <t>测算口径 = 1 − 归母权益 ÷ 资产总额（假定少数股东权益极小）。2026H1列直接引用公告书披露值</t>
  </si>
  <si>
    <t>2025年测算值应与披露的18.82%基本一致；若差异明显说明存在少数股东权益</t>
  </si>
  <si>
    <t>资产负债率（合并，披露）</t>
  </si>
  <si>
    <t>直接引用披露值，与上一行互为校验</t>
  </si>
  <si>
    <t>流动资产占总资产比例</t>
  </si>
  <si>
    <t>资产轻量化程度。2025年末流动资产占比约69.18%，非流动资产占比约30.82%</t>
  </si>
  <si>
    <t>存货占流动资产比例</t>
  </si>
  <si>
    <t>未提取</t>
  </si>
  <si>
    <t>存货（账面价值）÷ 流动资产。2023、2024年存货数据未从招股书中提取（见表10待核验）</t>
  </si>
  <si>
    <t>2025年末存货36,775.34万元，占流动资产约16.57%；已计提跌价准备2,457.37万元</t>
  </si>
  <si>
    <t>存货跌价准备计提率</t>
  </si>
  <si>
    <t>存货跌价准备 ÷ 存货账面余额（= 账面价值 + 跌价准备）</t>
  </si>
  <si>
    <t>2025年末约6.26%</t>
  </si>
  <si>
    <t>存货周转率（近似口径）</t>
  </si>
  <si>
    <t>数据缺失</t>
  </si>
  <si>
    <t>受限于期初存货未提取，此处以“主营业务成本 ÷ 期末存货”近似，非标准平均余额口径，仅供参考</t>
  </si>
  <si>
    <t>口径受限，正式引用前必须补齐2024年末存货数（见表10）</t>
  </si>
  <si>
    <t>应收账款周转率</t>
  </si>
  <si>
    <t>招股书未在本次提取范围内直接披露报告期各期末应收账款账面余额；由表5-4前五大应收合计1,769.78万元占比28.59%可反推2025年末余额约6,196万元，但该反推未经原文确认（见表10）</t>
  </si>
  <si>
    <t>本行暂不计算，待人工核验原始披露后补入</t>
  </si>
  <si>
    <t>公司自身预期信用损失计提比例</t>
  </si>
  <si>
    <t>三年均显著低于同业平均（2025年5.13% vs 14.07%）</t>
  </si>
  <si>
    <t>坏账计提比例差额（公司 − 同业，百分点）</t>
  </si>
  <si>
    <t>百分点</t>
  </si>
  <si>
    <t>负值表示公司计提比例低于同业平均。若按同业平均比例计提，2025年将额外减少利润，该敏感性影响需以确认后的应收账款余额测算</t>
  </si>
  <si>
    <t>会计估计差异点，属重要关注事项</t>
  </si>
  <si>
    <t>现金流质量结论：报告期经营活动现金流净额持续为正，2024—2025年大幅超过账面净利润，2025年达66,998.18万元（占营业收入39.43%），显示公司具有较强的回款能力和较低的应收依赖。但2026年1-3月经营现金流净额仅3,439.96万元，同比下降85.65%；2026年1-6月为23,154.53万元，同比下降32.53%，与同期收入+48.54%的增速形成明显背离，是本底稿识别出的最需要跟踪的先行指标。</t>
  </si>
  <si>
    <t>表7-6　研发投入与科创板科创属性指标校验</t>
  </si>
  <si>
    <t>仅披露同比增额</t>
  </si>
  <si>
    <t>直接引用表3-1研发费用</t>
  </si>
  <si>
    <t>Q1披露同比增额3,832.80万元、H1披露同比增额8,203.74万元，均未披露绝对值</t>
  </si>
  <si>
    <t>研发费用同比增速</t>
  </si>
  <si>
    <t>上年数未披露</t>
  </si>
  <si>
    <t>披露为增额</t>
  </si>
  <si>
    <t>研发费用 ÷ 上年研发费用 − 1</t>
  </si>
  <si>
    <t>2026Q1、H1招股书与公告书仅披露同比增加额，未披露绝对值，故本表不推算</t>
  </si>
  <si>
    <t>研发费用率（测算）</t>
  </si>
  <si>
    <t>研发投入占营业收入比例（披露）</t>
  </si>
  <si>
    <t>三年研发费用累计（科创属性指标）</t>
  </si>
  <si>
    <t>2023+2024+2025年研发费用之和</t>
  </si>
  <si>
    <t>科创属性要求最近三年累计研发费用≥8,000万元；测算值应约等于26,493.44万元，达标</t>
  </si>
  <si>
    <t>人均研发费用</t>
  </si>
  <si>
    <t>万元/人</t>
  </si>
  <si>
    <t>研发人数未披露</t>
  </si>
  <si>
    <t>2025年研发费用 ÷ 2025年末研发人员数（184人）</t>
  </si>
  <si>
    <t>2025年约78.79万元/人</t>
  </si>
  <si>
    <t>研发人员占员工总数比例（测算）</t>
  </si>
  <si>
    <t>研发人员 ÷ 员工总数</t>
  </si>
  <si>
    <t>科创属性要求≥10%；测算值应约等于披露的35.66%，达标</t>
  </si>
  <si>
    <t>研发费用 ÷ 扣非归母净利润</t>
  </si>
  <si>
    <t>衡量研发投入相对于自身盈利能力的强度</t>
  </si>
  <si>
    <t>2024年约89.22%、2025年约24.54%</t>
  </si>
  <si>
    <t>研发费用 ÷ 营业成本</t>
  </si>
  <si>
    <t>研发强度相对于生产投入的比例</t>
  </si>
  <si>
    <t>科创属性指标校验结果（依据表2-1与表3-1）：①最近三年累计研发费用26,493.44万元 &gt; 8,000万元门槛；②研发人员占员工总数35.66% &gt; 10%门槛；③截至2026年1月31日拥有境内发明专利20项（境内外注册专利合计262项），满足发明专利数量要求；④最近三年营业收入复合增长率226.78%，远高于门槛。四项指标均达标。需要关注：研发费用率由2023年的31.39%快速降至2025年的8.53%，绝对额虽仍在增长（4,995.18万→14,496.56万元），但增速远低于收入增速；后续能否支撑“智能机器人模型研发项目”202,245.93万元的募投强度，是判断技术领先性可持续性的关键。</t>
  </si>
  <si>
    <t>表7-7　发行定价、估值倍数复算与募集资金超募测算</t>
  </si>
  <si>
    <t>本底稿复算值</t>
  </si>
  <si>
    <t>披露值</t>
  </si>
  <si>
    <t>复算 − 披露</t>
  </si>
  <si>
    <t>披露来源</t>
  </si>
  <si>
    <t>校验判定</t>
  </si>
  <si>
    <t>按发行价计算的募集资金总额</t>
  </si>
  <si>
    <t>发行价格 × 发行股票数量 ÷ 10,000</t>
  </si>
  <si>
    <t>应等于609,932.22万元</t>
  </si>
  <si>
    <t>募集资金净额（复算）</t>
  </si>
  <si>
    <t>募集资金总额 − 发行费用合计（不含增值税）</t>
  </si>
  <si>
    <t>允许±0.02万元四舍五入尾差</t>
  </si>
  <si>
    <t>按发行价计算的发行后总市值</t>
  </si>
  <si>
    <t>复算：发行价格 × 发行后总股本 ÷ 10,000，单位万元。披露值原单位为亿元，本行已按 ×10,000 换算为万元后再作差额比较，避免单位不一致造成的伪差异</t>
  </si>
  <si>
    <t>允许±1万元（披露值609.93亿元仅保留两位小数，换算后尾差属正常）</t>
  </si>
  <si>
    <t>【发行市盈率复算】</t>
  </si>
  <si>
    <t>发行市盈率①：扣非后净利 ÷ 发行前总股本</t>
  </si>
  <si>
    <t>发行价 ÷ (2025年扣非后归母净利润 ÷ 发行前总股本)。扣非后净利59,075.28万元高于扣非前27,821.05万元，故该口径市盈率最低</t>
  </si>
  <si>
    <t>发行市盈率②：扣非前净利 ÷ 发行前总股本</t>
  </si>
  <si>
    <t>发行价 ÷ (2025年归母净利润 ÷ 发行前总股本)</t>
  </si>
  <si>
    <t>发行市盈率③：扣非后净利 ÷ 发行后总股本</t>
  </si>
  <si>
    <t>发行价 ÷ (2025年扣非后归母净利润 ÷ 发行后总股本)；等价于发行后市值 ÷ 扣非后净利</t>
  </si>
  <si>
    <t>发行市盈率④：扣非前净利 ÷ 发行后总股本（公告书对外口径）</t>
  </si>
  <si>
    <t>发行价 ÷ (2025年归母净利润 ÷ 发行后总股本)。按“扣非前后孰低”原则，公告书以本口径219.23倍作为对外披露的发行市盈率</t>
  </si>
  <si>
    <t>该值为对外正式口径，引用时应以此为准</t>
  </si>
  <si>
    <t>发行市销率①：营收 ÷ 发行前总股本</t>
  </si>
  <si>
    <t>发行价 ÷ (2025年营业收入 ÷ 发行前总股本)</t>
  </si>
  <si>
    <t>发行市销率②：营收 ÷ 发行后总股本（摊薄后静态）</t>
  </si>
  <si>
    <t>发行价 ÷ (2025年营业收入 ÷ 发行后总股本)；等价于发行后市值 ÷ 2025年营业收入</t>
  </si>
  <si>
    <t>发行后每股收益（扣非前后孰低）</t>
  </si>
  <si>
    <t>MIN(2025年归母净利, 2025年扣非归母净利) ÷ 发行后总股本（股）</t>
  </si>
  <si>
    <t>发行后每股净资产</t>
  </si>
  <si>
    <t>(2025年末归母所有者权益 + 募集资金净额) ÷ 发行后总股本</t>
  </si>
  <si>
    <t>发行市净率</t>
  </si>
  <si>
    <t>发行价 ÷ 发行后每股净资产</t>
  </si>
  <si>
    <t>【相对估值参照】</t>
  </si>
  <si>
    <t>发行市盈率④ ÷ 行业平均静态市盈率</t>
  </si>
  <si>
    <t>公司发行市盈率 ÷ 所属行业（C34通用设备制造业）最近一个月平均静态市盈率38.56倍</t>
  </si>
  <si>
    <t>测算约5.69倍，发行定价显著高于行业均值</t>
  </si>
  <si>
    <t>发行市销率② ÷ 可比公司静态市销率均值</t>
  </si>
  <si>
    <t>公司发行市销率35.89倍 ÷ 可比公司（优必选、越疆）2025年静态市销率算术平均19.74倍</t>
  </si>
  <si>
    <t>测算约1.82倍，即较可比公司溢价约82%</t>
  </si>
  <si>
    <t>【募集资金与超募测算】</t>
  </si>
  <si>
    <t>募投项目拟使用募集资金合计</t>
  </si>
  <si>
    <t>四个募投项目拟使用募集资金之和（表6-3合计行）</t>
  </si>
  <si>
    <t>420,171.12万元</t>
  </si>
  <si>
    <t>超募金额（实际净募资 − 募投计划投入）</t>
  </si>
  <si>
    <t>S2/S1</t>
  </si>
  <si>
    <t>募集资金净额591,714.92万元 − 募投项目拟使用募集资金合计420,171.12万元</t>
  </si>
  <si>
    <t>测算约171,543.80万元（17.15亿元）</t>
  </si>
  <si>
    <t>超募比例（超募额 ÷ 募投计划投入）</t>
  </si>
  <si>
    <t>超募金额 ÷ 募投项目拟使用募集资金合计</t>
  </si>
  <si>
    <t>测算约40.83%</t>
  </si>
  <si>
    <t>发行费用率（发行费用 ÷ 募资总额）</t>
  </si>
  <si>
    <t>S2/S6</t>
  </si>
  <si>
    <t>发行费用合计 ÷ 募集资金总额</t>
  </si>
  <si>
    <t>测算约2.99%</t>
  </si>
  <si>
    <t>承销及保荐费率</t>
  </si>
  <si>
    <t>承销及保荐费14,499.32万元 ÷ 募集资金总额</t>
  </si>
  <si>
    <t>测算约2.38%</t>
  </si>
  <si>
    <t>研发类募投项目占比（序号1+2+3）</t>
  </si>
  <si>
    <t>三个研发类项目拟使用募集资金 ÷ 募投合计</t>
  </si>
  <si>
    <t>测算约85.15%，与招股书披露一致</t>
  </si>
  <si>
    <t>超募资金相当于2025年营业收入的倍数</t>
  </si>
  <si>
    <t>超募金额 ÷ 2025年营业收入169,926.93万元</t>
  </si>
  <si>
    <t>测算约1.01倍，即超募资金规模与全年营收相当</t>
  </si>
  <si>
    <t>估值与募资结论：按公告书孰低口径，本次发行市盈率219.23倍，为所属行业最近一个月平均静态市盈率38.56倍的约5.69倍；发行市销率35.89倍，较可比公司均值19.74倍溢价约82%。募集资金净额591,714.92万元较募投项目计划投入420,171.12万元超募约171,543.80万元（40.83%），超募资金体量与2025年全年营业收入（169,926.93万元）相当。招股说明书与上市公告书未对超募部分作出具体的项目化安排，其存放与使用（是否变更募投、是否补充流动资金）属于上市后需持续跟踪的治理事项。</t>
  </si>
  <si>
    <t>表7-8　2026年1-6月：管理层预计（性质D）与已实现数（性质C）对比 —— 严禁混用</t>
  </si>
  <si>
    <t>预计下限（性质D）</t>
  </si>
  <si>
    <t>预计上限（性质D）</t>
  </si>
  <si>
    <t>已实现数（性质C）</t>
  </si>
  <si>
    <t>实际 ÷ 下限 − 1</t>
  </si>
  <si>
    <t>实际 ÷ 上限 − 1</t>
  </si>
  <si>
    <t>是否超出预计区间</t>
  </si>
  <si>
    <t>结论表述规范</t>
  </si>
  <si>
    <t>可以说“实际营业收入高于管理层预计上限约2.15%”；不可以说“公司完成了盈利预测”或“业绩超预期兑现”</t>
  </si>
  <si>
    <t>实际值落在预计区间内，可以说“与管理层预计区间基本一致”</t>
  </si>
  <si>
    <t>【上年同期基数（2025年1-6月）】</t>
  </si>
  <si>
    <t>本行为比较基数，非预计数。2025年1-6月营业收入77,571.92万元</t>
  </si>
  <si>
    <t>预计区间同比增速（性质D，非事实）</t>
  </si>
  <si>
    <t>招股书披露的预计同比区间为+35.62%至+45.41%，本行为复算校验</t>
  </si>
  <si>
    <t>已实现同比增速（性质C，未经审计）</t>
  </si>
  <si>
    <t>实际同比+48.54%，高于预计区间上限（+45.41%）</t>
  </si>
  <si>
    <t>招股说明书原文（必须随数据一并引用）：“上述2026年1-6月财务数据预计为管理层对经营状况的合理估计，不代表公司最终实现的营业收入及净利润，相关数据未经会计师审计或审阅，不构成公司的盈利预测或业绩承诺。”因此：①预计数（性质D）在本底稿中一律以橙色底纹标示，任何场合不得表述为“实现”“完成”“达到”；②上市公告书披露的2026年1-6月已实现数（性质C）虽为实际发生数，但未经审计，引用时必须注明；③二者对比只能表述为“实际数相对预计区间的偏离”，不得据此推断管理层预测能力或对未来业绩作外推。</t>
  </si>
  <si>
    <t>表7-9　上市后二级市场表现与市值测算（行情数据来源S9，第三方；性质E·测算）</t>
  </si>
  <si>
    <t>计算基准</t>
  </si>
  <si>
    <t>备注</t>
  </si>
  <si>
    <t>上市首日收盘价</t>
  </si>
  <si>
    <t>表2-2首个交易日收盘价</t>
  </si>
  <si>
    <t>845.00元</t>
  </si>
  <si>
    <t>上市首日盘中最高价</t>
  </si>
  <si>
    <t>表2-2首个交易日最高价</t>
  </si>
  <si>
    <t>1,100.00元</t>
  </si>
  <si>
    <t>资料截止日前最后收盘价</t>
  </si>
  <si>
    <t>表2-2最后一个交易日（2026-08-28）收盘价；2026-08-31数据超出资料截止日，已排除</t>
  </si>
  <si>
    <t>585.00元</t>
  </si>
  <si>
    <t>上市首日涨幅（相对发行价）</t>
  </si>
  <si>
    <t>发行价150.80元</t>
  </si>
  <si>
    <t>S2/S9</t>
  </si>
  <si>
    <t>首日收盘价 ÷ 发行价 − 1</t>
  </si>
  <si>
    <t>披露涨跌幅+460.34%</t>
  </si>
  <si>
    <t>2026-08-28收盘价相对发行价涨幅</t>
  </si>
  <si>
    <t>最后收盘价 ÷ 发行价 − 1</t>
  </si>
  <si>
    <t>上市后8个交易日仍高于发行价约2.88倍</t>
  </si>
  <si>
    <t>2026-08-28收盘价相对首日收盘价跌幅</t>
  </si>
  <si>
    <t>首日收盘845.00元</t>
  </si>
  <si>
    <t>最后收盘价 ÷ 首日收盘价 − 1</t>
  </si>
  <si>
    <t>自首日收盘回落约30.77%</t>
  </si>
  <si>
    <t>2026-08-28收盘价相对首日盘中最高价跌幅</t>
  </si>
  <si>
    <t>首日最高1,100.00元</t>
  </si>
  <si>
    <t>最后收盘价 ÷ 首日盘中最高价 − 1</t>
  </si>
  <si>
    <t>自盘中高点回落约46.82%</t>
  </si>
  <si>
    <t>首日收盘总市值</t>
  </si>
  <si>
    <t>亿元</t>
  </si>
  <si>
    <t>总股本404,464,340股</t>
  </si>
  <si>
    <t>首日收盘价 × 发行后总股本 ÷ 100,000,000</t>
  </si>
  <si>
    <t>约3,417.72亿元</t>
  </si>
  <si>
    <t>首日盘中最高市值</t>
  </si>
  <si>
    <t>首日最高价 × 发行后总股本 ÷ 100,000,000</t>
  </si>
  <si>
    <t>约4,449.11亿元</t>
  </si>
  <si>
    <t>2026-08-28收盘总市值</t>
  </si>
  <si>
    <t>最后收盘价 × 发行后总股本 ÷ 100,000,000</t>
  </si>
  <si>
    <t>约2,366.12亿元</t>
  </si>
  <si>
    <t>静态市销率（2026-08-28市值 ÷ 2025年营收）</t>
  </si>
  <si>
    <t>2025年营收169,926.93万元</t>
  </si>
  <si>
    <t>S2/S9/S3</t>
  </si>
  <si>
    <t>收盘市值（万元）÷ 2025年营业收入（万元）</t>
  </si>
  <si>
    <t>约139.2倍，为发行市销率35.89倍的约3.9倍</t>
  </si>
  <si>
    <t>静态市盈率（2026-08-28市值 ÷ 2025年归母净利）</t>
  </si>
  <si>
    <t>2025年归母净利27,821.05万元</t>
  </si>
  <si>
    <t>收盘市值（万元）÷ 2025年归母净利润（万元）</t>
  </si>
  <si>
    <t>约850倍</t>
  </si>
  <si>
    <t>静态市盈率（2026-08-28市值 ÷ 2025年扣非归母净利）</t>
  </si>
  <si>
    <t>2025年扣非归母净利59,075.28万元</t>
  </si>
  <si>
    <t>收盘市值（万元）÷ 2025年扣非后归母净利润（万元）</t>
  </si>
  <si>
    <t>约401倍，仍远高于行业均值38.56倍</t>
  </si>
  <si>
    <t>2026年上半年营业收入简单年化值</t>
  </si>
  <si>
    <t>2026H1营收 × 2</t>
  </si>
  <si>
    <t>C + E</t>
  </si>
  <si>
    <t>【测算·非预测】仅为“上半年数×2”的机械年化，未考虑公司第四季度收入占比偏高（2025年Q4占31.12%）的季节性，亦不构成对2026年全年业绩的预测或估计</t>
  </si>
  <si>
    <t>严禁表述为“预计2026年营收”</t>
  </si>
  <si>
    <t>按简单年化营收测算的动态市销率</t>
  </si>
  <si>
    <t>简单年化营收</t>
  </si>
  <si>
    <t>收盘市值（万元）÷ 简单年化营收（万元）。该指标依赖机械年化假设，敏感性极高，仅供内部参考</t>
  </si>
  <si>
    <t>约103倍</t>
  </si>
  <si>
    <t>上市后累计成交额</t>
  </si>
  <si>
    <t>8个交易日合计</t>
  </si>
  <si>
    <t>表2-2成交额列求和 ÷ 100,000,000</t>
  </si>
  <si>
    <t>约561.13亿元</t>
  </si>
  <si>
    <t>上市后日均成交额</t>
  </si>
  <si>
    <t>8个交易日均值</t>
  </si>
  <si>
    <t>表2-2成交额列求平均 ÷ 100,000,000</t>
  </si>
  <si>
    <t>约70.14亿元</t>
  </si>
  <si>
    <t>上市后日均换手率</t>
  </si>
  <si>
    <t>表2-2换手率列求平均；首日85.28%为极值，剔除首日后显著下降</t>
  </si>
  <si>
    <t>约31.84%</t>
  </si>
  <si>
    <t>上市首日无限售条件流通股（测算）</t>
  </si>
  <si>
    <t>股</t>
  </si>
  <si>
    <t>发行量−战配−网下10%限售</t>
  </si>
  <si>
    <t>发行股票数量 − 战略配售数量 − 网下最终发行数量×10%（科创板网下配售数量的10%锁定6个月）</t>
  </si>
  <si>
    <t>约30,092,133股；该推断需以《上市公告书》股本结构表原文核验（见表10）</t>
  </si>
  <si>
    <t>首日换手率校验（首日成交量 ÷ 测算无限售流通股）</t>
  </si>
  <si>
    <t>首日成交量256,579手</t>
  </si>
  <si>
    <t>首日成交量（手）× 100 ÷ 上一行测算的无限售流通股数量</t>
  </si>
  <si>
    <t>测算约85.26%，与披露的85.28%基本吻合，反向验证了“网下10%限售6个月”的推断</t>
  </si>
  <si>
    <t>行情数据重要声明：表2-2及本表全部价格、成交量、成交额、换手率数据来自第三方行情接口（来源S9），不属于发行人或上海证券交易所的法定信息披露内容，性质标记为E。凡引用市值、市盈率、市销率的市场口径测算，必须注明行情时点与数据来源，不得与公司披露的发行估值倍数（表7-7）混用。另需注意：资料截止日为2026-08-30，2026-08-31及之后的行情与公告（包括2026-09-03披露的公司章程、变更注册资本公告）均未纳入本底稿。</t>
  </si>
  <si>
    <t>表7-10　同行业可比公司对标（数据取自招股说明书同业对比表，性质A）</t>
  </si>
  <si>
    <t>公司</t>
  </si>
  <si>
    <t>2025营业收入(万元)</t>
  </si>
  <si>
    <t>宇树营收 ÷ 该公司营收</t>
  </si>
  <si>
    <t>毛利率 − 宇树(百分点)</t>
  </si>
  <si>
    <t>2023→2025营收CAGR</t>
  </si>
  <si>
    <t>2025人形机器人收入占比（招股书披露）</t>
  </si>
  <si>
    <t>41.1%（由上年2.7%大幅上升）</t>
  </si>
  <si>
    <t>营收与毛利率直接引用表5-2；CAGR = (2025营收 ÷ 2023营收)^(1/2) − 1</t>
  </si>
  <si>
    <t>未超过5%</t>
  </si>
  <si>
    <t>全尺寸人形机器人成为主要收入来源（未披露具体比例）</t>
  </si>
  <si>
    <t>51.78%（人形机器人占主营业务收入比例，表4-1口径）</t>
  </si>
  <si>
    <t>CAGR约226.78%，与招股书披露的科创属性指标一致</t>
  </si>
  <si>
    <t>发行市销率 vs 可比公司均值</t>
  </si>
  <si>
    <t>第3列=公司发行市销率；第4列=可比公司均值；第5列=溢价百分点</t>
  </si>
  <si>
    <t>公司发行市销率35.89倍，可比公司（优必选、越疆）均值19.74倍</t>
  </si>
  <si>
    <t>同业对标结论：①规模——2025年宇树营业收入169,926.93万元，为可比公司平均值（77,254.01万元）的2.20倍，但低于优必选（200,099.90万元），在四家可比公司中排名第二；②盈利能力——综合毛利率60.44%，高出可比公司平均值（44.44%）16.00个百分点，且为唯一连续三年毛利率上升并持续高于均值的公司；③成长性——2023→2025年营收CAGR约226.78%，显著高于云深处（约159.51%）、乐聚智能（约118.68%）、优必选（约37.67%）、越疆（约31.13%）；④估值——发行市销率较可比公司均值溢价约82%，招股说明书以“可比上市公司均未盈利”为由选择市销率而非市盈率作为对比指标，这一指标选择本身降低了对盈利质量的定价约束，属于估值分析中需要独立判断的方法论问题。</t>
  </si>
  <si>
    <t>表7-11　股权结构、控制权与战略配售测算（性质A / E）</t>
  </si>
  <si>
    <t>发行前</t>
  </si>
  <si>
    <t>发行后</t>
  </si>
  <si>
    <t>变动(百分点或万股)</t>
  </si>
  <si>
    <t>王兴兴直接持股比例</t>
  </si>
  <si>
    <t>直接引用表6-1股本结构表；变动列为两期持股比例差（百分点）</t>
  </si>
  <si>
    <t>控股股东、实际控制人，直接持股8,671.4964万股不变</t>
  </si>
  <si>
    <t>上海宇翼（员工持股平台）持股比例</t>
  </si>
  <si>
    <t>2022年1月与2025年6月先后两次增资；2025年6月增资是34,906.55万元股份支付费用的直接来源</t>
  </si>
  <si>
    <t>汉海信息持股比例</t>
  </si>
  <si>
    <t>第三大股东</t>
  </si>
  <si>
    <t>宁波红杉持股比例</t>
  </si>
  <si>
    <t>第四大股东</t>
  </si>
  <si>
    <t>本次公开发行股份占总股本比例</t>
  </si>
  <si>
    <t>4,044.6434万股 ÷ 40,446.4340万股</t>
  </si>
  <si>
    <t>发行比例10.00%，处于科创板常规下限</t>
  </si>
  <si>
    <t>总股本</t>
  </si>
  <si>
    <t>万股</t>
  </si>
  <si>
    <t>发行前36,401.7906万股 → 发行后40,446.4340万股</t>
  </si>
  <si>
    <t>新增4,044.6434万股</t>
  </si>
  <si>
    <t>战略配售获配股数占本次发行比例</t>
  </si>
  <si>
    <t>8,089,286股 ÷ 40,446,434股</t>
  </si>
  <si>
    <t>20.00%</t>
  </si>
  <si>
    <t>员工资管计划合计获配股数</t>
  </si>
  <si>
    <t>员工1号（1,356,100股）+ 员工2号（444,297股）</t>
  </si>
  <si>
    <t>合计1,800,397股</t>
  </si>
  <si>
    <t>员工资管计划合计占本次发行比例</t>
  </si>
  <si>
    <t>员工资管计划合计获配股数 ÷ 发行股票数量</t>
  </si>
  <si>
    <t>约4.45%；1号计划159名核心员工、2号计划12名高管及核心员工</t>
  </si>
  <si>
    <t>员工资管计划合计获配金额</t>
  </si>
  <si>
    <t>元</t>
  </si>
  <si>
    <t>1号204,499,880.00元 + 2号66,999,987.60元</t>
  </si>
  <si>
    <t>约2.71亿元</t>
  </si>
  <si>
    <t>保荐人跟投（中证投资）获配金额</t>
  </si>
  <si>
    <t>发行规模50亿元以上，跟投比例2%，获配808,928股</t>
  </si>
  <si>
    <t>限售期24个月</t>
  </si>
  <si>
    <t>长期战略投资者（杭州深度求索）获配金额</t>
  </si>
  <si>
    <t>杭州深度求索人工智能基础技术研究有限公司获配933,399股</t>
  </si>
  <si>
    <t>限售期36个月，为战配中最长</t>
  </si>
  <si>
    <t>全国社保基金理事会获配金额</t>
  </si>
  <si>
    <t>获配933,402股（含六零一、五零二、一零九三个组合）</t>
  </si>
  <si>
    <t>限售期12个月</t>
  </si>
  <si>
    <t>特别表决权下实际控制人合计控制表决权</t>
  </si>
  <si>
    <t>68.7816%（发行前）</t>
  </si>
  <si>
    <t>65.3090%（发行后）</t>
  </si>
  <si>
    <t>−3.47个百分点</t>
  </si>
  <si>
    <t>王兴兴直接持股表决权 + 通过杭州天则控制的上海宇翼表决权；特别表决权安排设置于2025年5月16日</t>
  </si>
  <si>
    <t>本次发行不会导致实际控制人变更</t>
  </si>
  <si>
    <t>前十大股东合计持股占发行前总股本比例</t>
  </si>
  <si>
    <t>71.5041%</t>
  </si>
  <si>
    <t>发行前前十名股东合计26,028.7524万股 ÷ 36,401.7906万股</t>
  </si>
  <si>
    <t>股权集中度较高</t>
  </si>
  <si>
    <t>治理结构提示：公司适用《上海证券交易所科创板股票上市规则》第2.1.4条第（一）款“预计市值不低于人民币100亿元”标准上市，且存在特别表决权安排。实际控制人王兴兴发行后合计控制65.3090%的表决权，公众股东在股东大会层面的制衡能力有限，这是评估公司治理风险时必须纳入的结构性因素。此外，2025年6月上海宇翼增资同时构成了（1）34,906.55万元股份支付费用的会计来源，与（2）最近一次市场化融资投前估值120亿元/投后估值127亿元的定价锚点，两者应结合理解：股份支付费用规模本质上反映了该次增资价格与公允价值之间的差额。</t>
  </si>
  <si>
    <t>趋势图表（图表数据区全部为公式，实时引用『03 / 04 / 05 / 02』表；修改原始数据后图表自动更新）</t>
  </si>
  <si>
    <t>使用方式：下方“图表数据区”（A–H列）是全部19张图表的唯一数据源，均为公式引用，不含硬编码数值，可直接编辑、替换或增删行。图表本体自数据区之后排列。在 Excel 中调整图表类型、配色或坐标轴时直接选中图表操作即可，不会影响公式区。</t>
  </si>
  <si>
    <t>图表数据区 1：年度营业收入、净利润、非经常性损益与经营现金流（单位：万元，性质A）</t>
  </si>
  <si>
    <t>报告期</t>
  </si>
  <si>
    <t>营业收入同比</t>
  </si>
  <si>
    <t>归母净利润</t>
  </si>
  <si>
    <t>扣非归母净利润</t>
  </si>
  <si>
    <t>非经常性损益净额</t>
  </si>
  <si>
    <t>经营活动现金流净额</t>
  </si>
  <si>
    <t>口径说明</t>
  </si>
  <si>
    <t>性质A（经审计）</t>
  </si>
  <si>
    <t>图表数据区 2：盈利能力与费用率趋势（性质A；剔除股份支付列为性质E·测算）</t>
  </si>
  <si>
    <t>管理费用率(剔除股份支付)</t>
  </si>
  <si>
    <t>剔除股份支付列 = (管理费用 − 股份支付费用) ÷ 营业收入，性质E·测算</t>
  </si>
  <si>
    <t>图表数据区 3：主营业务收入产品构成（万元，性质A）</t>
  </si>
  <si>
    <t>2023→2025增长倍数</t>
  </si>
  <si>
    <t>性质A</t>
  </si>
  <si>
    <t>图表数据区 4：分产品毛利率趋势（性质E·测算，基于表4-1收入与表4-2成本）</t>
  </si>
  <si>
    <t>三年变动(百分点)</t>
  </si>
  <si>
    <t>机器人组件行可与招股书直接披露的48.76%/56.94%/59.36%互校</t>
  </si>
  <si>
    <t>图表数据区 5：销售量与平均单价（销量为性质A；单价按“收入÷销量”测算，性质E）</t>
  </si>
  <si>
    <t>人形机器人销量(台)</t>
  </si>
  <si>
    <t>人形机器人单价(万元/台)</t>
  </si>
  <si>
    <t>四足机器人销量(台)</t>
  </si>
  <si>
    <t>四足机器人单价(万元/台)</t>
  </si>
  <si>
    <t>2023年</t>
  </si>
  <si>
    <t>销量为招股书披露的主营业务收入口径销量</t>
  </si>
  <si>
    <t>2024年</t>
  </si>
  <si>
    <t>2025年</t>
  </si>
  <si>
    <t>口径提醒：2025年人形机器人“销量”5,215台为主营业务收入口径（性质A）；招股说明书概览部分所称“出货量已超5,500台（全球第一）”为出货量口径，两者相差约300台，不可混用。本图表统一使用5,215台销量口径。</t>
  </si>
  <si>
    <t>图表数据区 6：主营业务收入境内外结构（万元，性质A）</t>
  </si>
  <si>
    <t>境外占比</t>
  </si>
  <si>
    <t>2025年境内占比首次超过境外（56.35% vs 43.65%）</t>
  </si>
  <si>
    <t>图表数据区 6B：主营业务收入季度分布（万元，性质A）</t>
  </si>
  <si>
    <t>第四季度占比常年偏高，存在季节性</t>
  </si>
  <si>
    <t>图表数据区 7：研发投入（性质A）</t>
  </si>
  <si>
    <t>研发投入占营收比例</t>
  </si>
  <si>
    <t>研发费用同比</t>
  </si>
  <si>
    <t>研发费用绝对额持续上升，但费用率快速下降</t>
  </si>
  <si>
    <t>图表数据区 8：同行业可比公司对标（营业收入万元 / 综合毛利率，性质A）</t>
  </si>
  <si>
    <t>2023营收</t>
  </si>
  <si>
    <t>2024营收</t>
  </si>
  <si>
    <t>2025营收</t>
  </si>
  <si>
    <t>性质A（招股书同业对比表）</t>
  </si>
  <si>
    <t>图表数据区 9：上市后二级市场表现（2026-08-19 至 2026-08-28；行情来源S9，性质E）</t>
  </si>
  <si>
    <t>收盘价</t>
  </si>
  <si>
    <t>单日涨跌幅</t>
  </si>
  <si>
    <t>成交额(亿元)</t>
  </si>
  <si>
    <t>换手率</t>
  </si>
  <si>
    <t>收盘市值(亿元)</t>
  </si>
  <si>
    <t>性质E（第三方行情，非公司披露）</t>
  </si>
  <si>
    <t>2026-08-29、08-30为周末非交易日；2026-08-31行情虽已产生，但超出本底稿资料截止日（2026-08-30），已排除。</t>
  </si>
  <si>
    <t>图表数据区 10：2026年1-6月 管理层预计（性质D）与已实现（性质C）</t>
  </si>
  <si>
    <t>预计下限(D)</t>
  </si>
  <si>
    <t>预计上限(D)</t>
  </si>
  <si>
    <t>已实现(C)</t>
  </si>
  <si>
    <t>上年同期(A/C)</t>
  </si>
  <si>
    <t>预计数为性质D（管理层估计，不构成盈利预测或业绩承诺）；已实现数为性质C（未经审计）</t>
  </si>
  <si>
    <t>本区数据严禁用于表述“公司实现了盈利预测”。招股说明书原文载明预计数“不构成公司的盈利预测或业绩承诺”。</t>
  </si>
  <si>
    <t>↓ 以下为图表区（共19张），数据全部取自上方公式区</t>
  </si>
  <si>
    <t>图表清单（共19张）：图1 营收与增速｜图2 归母 vs 扣非净利｜图3 非经常性损益净额｜图4 经营现金流 vs 营收｜图5 毛利率与扣非净利率｜图6 费用率（含剔除股份支付）｜图7 产品构成堆积｜图8 分产品毛利率｜图9 人形机器人量价｜图10 四足机器人量价｜图11 境内外结构｜图12 季度分布｜图13 研发投入｜图14 同业营收｜图15 同业毛利率｜图16 收盘价走势｜图17 收盘市值｜图18 涨跌幅与换手率｜图19 预计 vs 实际。全部图表数据均来自本页上方公式区，未使用任何硬编码数值；若某张图表显示为空白，通常是因为 Excel 尚未完成公式重算（按 F9 或 Ctrl+Alt+F9 强制重算即可）。</t>
  </si>
  <si>
    <t>分析结论（每条结论均附支撑数据、来源编号与数据性质，可逐条回溯至原始数据表）</t>
  </si>
  <si>
    <t>阅读顺序建议：先看“结论（一句话）”，再看“支撑数据与计算依据”，最后核对“来源 / 数据性质”与“局限、反证与需跟踪事项”。凡性质标注含 D 的均为管理层预计，不得作为已实现事实引用；凡含 E 的为本底稿测算，须按局限列说明使用；凡含 C 的为未经审计数据，引用时必须注明。</t>
  </si>
  <si>
    <t>编号</t>
  </si>
  <si>
    <t>结论（一句话）</t>
  </si>
  <si>
    <t>支撑数据与计算依据</t>
  </si>
  <si>
    <t>局限、反证与需跟踪事项</t>
  </si>
  <si>
    <t>一、总体判断</t>
  </si>
  <si>
    <t>C-01</t>
  </si>
  <si>
    <t>报告期内公司完成了从“四足机器人厂商”到“人形机器人主导”的业务结构跃迁，收入规模三年增长约9.7倍，这是本次分析中最强的事实性发现。</t>
  </si>
  <si>
    <t>营业收入15,913.44万元（2023）→39,277.07万元（2024）→169,926.93万元（2025），两年CAGR约226.78%（见表7-1）；人形机器人占主营业务收入比重由1.88%升至27.68%再升至51.78%，2025年首次超过四足机器人（41.62%）成为第一大产品线（见表4-1）。</t>
  </si>
  <si>
    <t>高增长建立在极低基数之上（2023年人形机器人仅销售5台、收入296.71万元），百分比增速对基数高度敏感，不宜线性外推。</t>
  </si>
  <si>
    <t>C-02</t>
  </si>
  <si>
    <t>公司账面利润与真实盈利能力之间存在系统性偏离，必须以扣非口径而非归母口径评估其盈利水平。</t>
  </si>
  <si>
    <t>2025年归母净利润27,821.05万元，而扣非归母净利润59,075.28万元，扣非后反而高出31,254.23万元（见表7-2）；差额来自2025年6月上海宇翼增资确认的股份支付费用34,906.55万元，全额计入管理费用、列为非经常性损益、无现金流出。剔除该项后2025年管理费用率由23.52%降至约2.97%（见表7-2）；2025年扣非加权ROE 28.70%，为扣非前13.52%的2.1倍。</t>
  </si>
  <si>
    <t>股份支付费用属一次性会计确认，不代表经营恶化。但由此产生的基数效应会使2026年“归母净利润同比”严重失真——2026H1归母净利润27,399.99万元 vs 上年同期−3,202.45万元，上市公告书已直接标注“不可比”（见表3-3）。分析中应以扣非口径为主轴。</t>
  </si>
  <si>
    <t>C-03</t>
  </si>
  <si>
    <t>2026年上半年收入继续高增长，但盈利与现金流两项指标同步走弱，构成本底稿识别出的最重要预警信号。</t>
  </si>
  <si>
    <t>2026H1营业总收入115,224.56万元（同比+48.54%），但扣非归母净利润24,393.03万元（−19.34%）、经营活动现金流净额23,154.53万元（−32.53%）、扣非加权ROE 8.90%（同比−12.12个百分点）（见表3-3、表7-1、表7-5）；2026Q1更为极端：营收+68.49%而扣非归母净利−52.55%、经营现金流−85.65%（见表3-2）。收入增而利润减的直接线索是单价持续下行（见表7-4）与研发费用同比增加8,203.74万元（H1口径）。</t>
  </si>
  <si>
    <t>S1 / S2</t>
  </si>
  <si>
    <t>B / C</t>
  </si>
  <si>
    <t>2026H1数据未经审计（性质C），2026Q1仅经审阅（性质B），且公司已明示上市后不再单独披露2026年半年报，故无法通过后续定期报告验证。利润下滑的成因（价格下探、研发投入加大、销售费用前置、产品结构变化）在披露文件中未逐项量化，须以2026年年度报告核实。这是本底稿优先级最高的跟踪事项。</t>
  </si>
  <si>
    <t>二、成长性与收入质量</t>
  </si>
  <si>
    <t>C-04</t>
  </si>
  <si>
    <t>收入增长几乎完全由销量驱动、并被单价下行部分抵消，属“以价换量”的扩张模式。</t>
  </si>
  <si>
    <t>2025年四足机器人销量贡献+51,371.57万元（占收入变动额109.98%）、单价拖累−4,663.39万元（−9.98%）；人形机器人销量贡献+125,085.09万元（164.47%）、单价拖累−49,031.66万元（−64.47%）（见表7-4，与招股书披露值一致）。人形机器人平均单价由59.34万元/台（2023）→26.04万元/台（2024）→16.64万元/台（2025），累计降幅71.96%。</t>
  </si>
  <si>
    <t>单价下降可能同时反映产品结构下沉（不同型号混合）与主动降价，招股书未拆分型号级单价，无法区分两种成因。若为主动降价，则毛利率可持续性存疑；若为结构下沉，则需关注高端产品的竞争力与品牌形象。</t>
  </si>
  <si>
    <t>C-05</t>
  </si>
  <si>
    <t>客户结构分散、无单一大客户依赖，收入集中度风险较低。</t>
  </si>
  <si>
    <t>报告期前五大客户合计占营业收入比例稳定在12.69%（2023）、12.45%（2024）、12.08%（2025）（见表5-1）；2025年第一大客户为境外客户N（欧洲），占比仅3.11%；招股说明书明确不存在向单个客户销售比例超过50%的情形，且与前五大客户均不存在关联关系。</t>
  </si>
  <si>
    <t>前五大客户中多家以“境外客户X（地区）”匿名披露，无法独立核实其真实身份、是否为经销商、以及最终销售是否实现；2025年新进入前五大名单的京东集团（4,887.32万元，2.88%）与北京朝元时代科技（3,070.69万元，1.81%）在2023、2024年名单中均未出现，属新增渠道，其持续性需跟踪。</t>
  </si>
  <si>
    <t>C-06</t>
  </si>
  <si>
    <t>收入存在明显的第四季度集中特征，季节性会放大单季数据的解读风险。</t>
  </si>
  <si>
    <t>第四季度主营业务收入占比：2023年33.61%、2024年40.71%、2025年31.12%（见表4-5）；招股说明书解释为新产品多在下半年陆续形成收入并于第四季度形成规模收入，且部分客户实行集中采购与预算管理。</t>
  </si>
  <si>
    <t>由于Q4占比偏高，将2026H1数据×2得到的年化值（230,449.12万元，见表7-9）会系统性低估全年，该测算值仅为机械结果，严禁作为全年业绩预测或估值输入使用。</t>
  </si>
  <si>
    <t>C-07</t>
  </si>
  <si>
    <t>2025年收入区域结构发生反转，境内首次超过境外。</t>
  </si>
  <si>
    <t>境内主营业务收入占比由44.37%（2023）、44.26%（2024）升至56.35%（2025），境外由55.63%降至43.65%（见表4-4）；招股说明书归因于2025年年初春晚演出提升全国品牌知名度，以及国内人工智能与机器人产业快速发展与政策支持带动科研教育、商业消费、行业应用客户采购需求。</t>
  </si>
  <si>
    <t>归因中包含“春晚演出”这一一次性营销事件，其需求拉动的可持续性无法从披露文件判断；境外收入占比下降也可能隐含出口管制、关税或地缘政治因素，招股说明书风险因素章节的相关表述需人工复核。</t>
  </si>
  <si>
    <t>C-08</t>
  </si>
  <si>
    <t>销售模式仍以线下为主，但线上（含电商入仓）已成为新的增量渠道。</t>
  </si>
  <si>
    <t>线下销售占比常年维持在86.86%→89.61%→89.28%；线上销售2025年为17,970.42万元（占10.72%），其中首次出现“电商入仓”模式4,885.16万元（占2.91%）；线下经销占比由35.59%升至38.18%（见表4-6）。</t>
  </si>
  <si>
    <t>经销收入占比上升意味着收入确认依赖经销商提货而非终端销售，存在渠道压货的可能性；招股说明书对经销商期末库存、退换货政策的披露需人工复核。</t>
  </si>
  <si>
    <t>三、盈利能力与成本结构</t>
  </si>
  <si>
    <t>C-09</t>
  </si>
  <si>
    <t>综合毛利率三年持续提升且显著高于同业，但其提升主要来自产品结构变化，而非单一产品盈利能力的普遍改善。</t>
  </si>
  <si>
    <t>综合毛利率44.75%→57.22%→60.44%，2025年高出可比公司平均值（44.44%）16.00个百分点（见表7-10）。分产品测算：人形机器人毛利率87.67%→69.26%→63.18%（下行），四足机器人43.71%→51.65%→56.72%（上行），机器人组件48.76%→56.94%→59.36%（上行）（见表7-3）。整体上行主要由高毛利的人形机器人收入占比从1.88%升至51.78%所驱动。</t>
  </si>
  <si>
    <t>结构驱动型毛利率提升的可持续性取决于两点：人形机器人收入占比能否维持，以及其自身毛利率能否止住下滑。若人形机器人毛利率继续按每年约6个百分点的速度回落，即使收入占比不变，综合毛利率也将见顶。</t>
  </si>
  <si>
    <t>C-10</t>
  </si>
  <si>
    <t>成本结构中直接材料占比快速上升，公司盈利的敏感度正从“人工与制造费用”转向“上游物料价格”。</t>
  </si>
  <si>
    <t>主营业务成本中直接材料占比72.87%（2023）→72.93%（2024）→81.73%（2025），直接人工由13.97%降至8.08%，制造费用由13.16%降至10.20%（见表4-7）；招股说明书解释为规模效应、生产标准化与人员熟练度提升带来效率提高，以及材料成本占比较高的人形机器人收入占比由27.68%升至51.78%。</t>
  </si>
  <si>
    <t>人工与制造费用占比下降部分来自收入结构变化的分母效应，不完全是效率提升；直接材料占比升至81.73%后，核心零部件（电机、减速器、传感器、芯片）价格波动对毛利率的弹性显著放大，而招股书未披露主要原材料的采购集中度与价格锁定安排，需人工复核“主要供应商”章节。</t>
  </si>
  <si>
    <t>C-11</t>
  </si>
  <si>
    <t>2025年存货规模与跌价准备均处于需关注水平，与高速放量相匹配但也隐含跌价风险。</t>
  </si>
  <si>
    <t>2025年末存货账面余额39,232.70万元、跌价准备2,457.37万元、账面价值36,775.34万元（计提率约6.26%）；其中在产品15,887.54万元（占43.20%）、原材料11,695.51万元（占31.80%）、库存商品3,757.68万元（占10.22%）、发出商品3,678.85万元（占10.00%）（见表4-8附注与表7-5）。存货占流动资产约16.57%。</t>
  </si>
  <si>
    <t>2023、2024年存货数据未在本次提取范围内获得，无法计算存货增速与存货周转率的时序变化（见表10）；在产品占比高达43.20%，若下游需求或产品迭代节奏变化，跌价风险集中于该科目。另外发出商品3,678.85万元与“出货量&gt;5,500台 vs 销量5,215台”的口径差异可能存在关联，值得核验。</t>
  </si>
  <si>
    <t>四、现金流、资产结构与会计估计</t>
  </si>
  <si>
    <t>C-12</t>
  </si>
  <si>
    <t>2023—2025年经营现金流质量优秀，但2026年上半年出现收入与现金流的明显背离。</t>
  </si>
  <si>
    <t>经营活动现金流净额494.25万元（2023）→19,239.13万元（2024）→66,998.18万元（2025），占营业收入比例分别为3.11%、48.98%、39.43%（见表7-5）；2025年经营现金流÷归母净利润约2.41倍，÷扣非归母净利润约1.13倍，两者差额正是股份支付费用“减利不出现金”的结果。但2026Q1经营现金流净额仅3,439.96万元（−85.65%），2026H1为23,154.53万元（−32.53%），同期收入分别+68.49%、+48.54%。</t>
  </si>
  <si>
    <t>现金流背离的可能原因（预付款项增加、存货备货、应收账期放宽、税费缴纳节奏）在披露文件中未量化说明；2026H1流动资产较上年末+30.13%、流动负债+55.57%、负债总额+59.88%、资产负债率由18.82%升至25.11%，显示营运资金占用明显加大，需在2026年年报中核实。</t>
  </si>
  <si>
    <t>C-13</t>
  </si>
  <si>
    <t>应收账款坏账计提比例连续三年显著低于同业平均，是本底稿识别出的最重要的会计估计差异点。</t>
  </si>
  <si>
    <t>公司计提比例6.13%（2023）、6.55%（2024）、5.13%（2025），同业平均12.19%、13.81%、14.07%（见表5-3），2025年低8.94个百分点；同业中优必选高达29.29%。招股说明书解释为公司应收账款账龄相对较短、周转率相对较快、回款情况良好。2025年末应收账款前五名合计1,769.78万元（占余额28.59%），账龄全部为1年以内（见表5-4）。</t>
  </si>
  <si>
    <t>该解释与2026年上半年经营现金流大幅下降（C-12）之间存在需要解释的张力：若回款确实良好，现金流为何与收入增速背离？此外，招股说明书未在本次提取范围内直接披露各期末应收账款账面余额，由前五大占比28.59%反推的2025年末余额约6,196万元属测算值（性质E），敏感性分析（若按同业14.07%计提将减少多少利润）必须在余额核实后才能给出。</t>
  </si>
  <si>
    <t>C-14</t>
  </si>
  <si>
    <t>资产结构轻、杠杆低，上市后资产负债率上升主要源于经营性负债而非有息债务。</t>
  </si>
  <si>
    <t>资产负债率（合并）23.57%（2023）→16.19%（2024）→18.82%（2025）→25.11%（2026H1）（见表3-1、表3-3）；2025年末流动资产占总资产约69.18%；财务费用2023、2024年为负（利息收入大于支出），2025年仅98.61万元，表明几乎不存在有息负债（见表7-2、表7-5）。</t>
  </si>
  <si>
    <t>招股说明书未在本次提取范围内提供负债构成明细（应付账款、合同负债、应付职工薪酬、应交税费的分项），因此“负债上升源于经营性负债”属于基于财务费用极小这一间接证据的推断，需以财务报表附注核实（见表10）。</t>
  </si>
  <si>
    <t>五、研发投入与科创属性</t>
  </si>
  <si>
    <t>C-15</t>
  </si>
  <si>
    <t>四项科创属性指标全部达标，但研发强度（研发费用率）随收入放大而快速稀释。</t>
  </si>
  <si>
    <t>①最近三年累计研发费用26,493.44万元 &gt; 8,000万元门槛；②研发人员184人占员工总数516人的35.66% &gt; 10%门槛；③截至2026年1月31日拥有境内发明专利20项（境内外注册专利合计262项）；④最近三年营业收入CAGR 226.78%（见表3-1、表7-6）。但研发费用率由31.39%（2023）→17.83%（2024）→8.53%（2025），研发费用÷扣非归母净利润由2024年约89.22%降至2025年约24.54%。</t>
  </si>
  <si>
    <t>研发费用率下降是分母（收入）高速扩张的结果，绝对额仍在增长（4,995.18万→7,001.70万→14,496.56万元）。但募投项目中研发类合计357,759.73万元（占85.15%），其中“智能机器人模型研发项目”单项202,245.93万元，相当于2025年全年研发费用的14倍、三年累计研发费用的7.6倍，公司能否有效消化这一投入强度并转化为技术领先性，是无法从历史数据判断的前瞻性问题。</t>
  </si>
  <si>
    <t>C-16</t>
  </si>
  <si>
    <t>人均研发投入水平较高，研发人员结构支撑“全栈自研”的商业模式主张。</t>
  </si>
  <si>
    <t>2025年人均研发费用约78.79万元/人（研发费用14,496.56万元 ÷ 研发人员184人，见表7-6）；研发人员占员工总数35.66%；招股说明书将其毛利率高于同业归因于“全栈自研自产降低硬件成本、规模效应及产品构成差异”。</t>
  </si>
  <si>
    <t>“研发人员”的认定口径（是否包含生产端工艺人员）未在提取范围内核实；“全栈自研自产”与直接材料占成本81.73%（C-10）之间的关系需进一步理解——自研并不等于自制，核心零部件外购比例需核验。</t>
  </si>
  <si>
    <t>六、发行定价、募集资金与估值</t>
  </si>
  <si>
    <t>C-17</t>
  </si>
  <si>
    <t>本次发行定价显著高于行业与可比公司参照水平，且存在大额超募。</t>
  </si>
  <si>
    <t>按公告书孰低口径，发行市盈率219.23倍，为所属行业（C34通用设备制造业）最近一个月平均静态市盈率38.56倍的约5.69倍；发行市销率35.89倍，较可比公司（优必选、越疆）2025年静态市销率算术平均19.74倍溢价约82%（见表7-7、表7-10）。募集资金净额591,714.92万元较募投项目计划投入420,171.12万元超募约171,543.80万元（40.83%），超募规模与2025年全年营业收入（169,926.93万元）相当（约1.01倍）。</t>
  </si>
  <si>
    <t>招股说明书以“可比上市公司均未盈利”为由选择市销率而非市盈率作为对比指标，这一方法论选择本身降低了对盈利质量的定价约束，需独立判断；公司自身在扣非口径下已实现盈利（2025年扣非归母净利59,075.28万元），因此“可比公司均未盈利”的表述并不能完全豁免市盈率对比。超募资金的具体使用安排在两份文件中均未项目化，属上市后治理跟踪事项。</t>
  </si>
  <si>
    <t>C-18</t>
  </si>
  <si>
    <t>发行估值倍数在四种口径下差异极大（92.92倍至219.23倍），引用时必须指明口径。</t>
  </si>
  <si>
    <t>四个披露口径分别为：①扣非后÷发行前总股本 92.92倍；②扣非前÷发行前总股本 197.31倍；③扣非后÷发行后总股本 103.25倍；④扣非前÷发行后总股本 219.23倍（见表7-7，四者均已复算一致）。口径①与④相差2.36倍，全部差异来自“扣非前后”与“发行前后股本”两个维度的组合。</t>
  </si>
  <si>
    <t>S2 / S3</t>
  </si>
  <si>
    <t>本底稿四个倍数均复算通过，但媒体与研究报告常混用口径，对外引用时应以公告书正式口径④（219.23倍）为准并注明。</t>
  </si>
  <si>
    <t>C-19</t>
  </si>
  <si>
    <t>战略配售结构显示长期资本与产业资本深度参与，员工持股比例较高。</t>
  </si>
  <si>
    <t>最终战略配售8,089,286股，占本次发行数量20.00%，获配金额合计1,219,864,328.80元（见表6-2）；其中员工1号资管计划1,356,100股（159名核心员工）+ 员工2号资管计划444,297股（12名高管及核心员工），合计1,800,397股，占本次发行约4.45%、获配金额约2.71亿元；杭州深度求索获配933,399股、限售期36个月（战配中最长）；全国社保基金理事会三个组合合计获配933,402股；保荐人跟投（中证投资）808,928股、限售24个月（见表7-11）。</t>
  </si>
  <si>
    <t>战略配售投资者的实际缴款、限售起止日与后续减持安排需以上市公告书原文及后续公告核验；限售期届满时点（2027年8月、2028年8月、2029年8月三批）构成可预期的流通盘扩容事件，应纳入跟踪日历。</t>
  </si>
  <si>
    <t>C-20</t>
  </si>
  <si>
    <t>特别表决权安排使实际控制人在发行后仍掌握绝对表决权，公众股东制衡能力有限。</t>
  </si>
  <si>
    <t>特别表决权安排设置于2025年5月16日；王兴兴发行前直接持股23.8216%但对应表决权63.5457%，合计控制表决权68.7816%；发行后直接持股降至21.4395%，合计控制表决权65.3090%（见表6-1、表7-11）；公司适用《科创板股票上市规则》第2.1.4条第（一）款“预计市值不低于人民币100亿元”标准上市。</t>
  </si>
  <si>
    <t>特别表决权的具体倍数、适用范围（是否及于重大事项）、以及日落条款需以公司章程原文核验；证券简称是否带“-W”标识需以交易所正式公布的简称为准。</t>
  </si>
  <si>
    <t>七、二级市场表现（性质E，第三方行情）</t>
  </si>
  <si>
    <t>C-21</t>
  </si>
  <si>
    <t>上市后股价经历了“首日暴涨—快速回落—低位震荡”的完整过程，截至资料截止日仍较发行价上涨约2.88倍。</t>
  </si>
  <si>
    <t>上市首日（2026-08-19）开盘即最高1,100.00元、收盘845.00元（较发行价150.80元上涨460.34%），盘中最高对应市值约4,449.11亿元、收盘市值约3,417.72亿元；此后连续回落，至2026-08-28收盘585.00元，较首日收盘下跌30.77%、较盘中最高下跌46.82%，但仍较发行价上涨287.93%，对应市值约2,366.12亿元（见表2-2、表7-9）。8个交易日累计成交额约561亿元，日均换手率约31.84%。</t>
  </si>
  <si>
    <t>S9 / S2</t>
  </si>
  <si>
    <t>行情数据来自第三方接口，非公司或交易所的法定披露内容；样本仅8个交易日，任何关于“估值回归”“破发风险”的判断都不具备统计意义。</t>
  </si>
  <si>
    <t>C-22</t>
  </si>
  <si>
    <t>以资料截止日前最后收盘价计，公司二级市场估值已远超发行定价与同业参照水平。</t>
  </si>
  <si>
    <t>按2026-08-28收盘价585.00元计算：静态市销率约139.2倍（发行市销率35.89倍，可比公司均值19.74倍）；静态市盈率约850倍（按2025年归母净利）或约401倍（按2025年扣非归母净利），行业平均静态市盈率为38.56倍（见表7-7、表7-9、表7-10）。若以2026H1营收简单年化（230,449.12万元）测算，动态市销率约103倍。</t>
  </si>
  <si>
    <t>S9 / S1 / S2</t>
  </si>
  <si>
    <t>A + C + E</t>
  </si>
  <si>
    <t>动态市销率依赖“上半年×2”的机械年化，未调整Q4占比偏高的季节性（C-06），敏感性极高，仅供内部参考；严禁将其表述为对公司2026年全年业绩的预测。市值与倍数测算必须标注行情时点（2026-08-28收盘）。</t>
  </si>
  <si>
    <t>八、同业竞争地位</t>
  </si>
  <si>
    <t>C-23</t>
  </si>
  <si>
    <t>在四家可比公司中，公司2025年营收排名第二、毛利率与成长性均排名第一。</t>
  </si>
  <si>
    <t>2025年营业收入：优必选200,099.90万元 &gt; 宇树169,926.93万元 &gt; 越疆49,348.30万元 &gt; 云深处33,749.06万元 &gt; 乐聚智能25,818.79万元；宇树为可比公司平均值（77,254.01万元）的2.20倍。综合毛利率：宇树60.44% &gt; 云深处52.83% &gt; 越疆46.49% &gt; 乐聚智能40.78% &gt; 优必选37.67%（平均44.44%）。2023→2025营收CAGR：宇树约226.78% &gt; 云深处约159.51% &gt; 乐聚智能约118.68% &gt; 优必选约37.67% &gt; 越疆约31.13%（见表7-10）。</t>
  </si>
  <si>
    <t>可比公司业务结构差异大（越疆以协作机器人为主、云深处以四足及轮足为主、优必选含教育与物流消费类业务），直接对比毛利率的口径一致性有限；优必选、越疆为港股上市公司，其财务数据按招股说明书采用的汇率折算，折算口径需核验（招股书载明按2026-08-05中间价1港元=0.86562人民币）。</t>
  </si>
  <si>
    <t>C-24</t>
  </si>
  <si>
    <t>人形机器人收入占比51.78%，公司在该细分赛道的商业化进度领先于已披露的可比公司。</t>
  </si>
  <si>
    <t>2025年宇树人形机器人主营业务收入86,783.19万元，占主营业务收入51.78%、销量5,215台；优必选人形机器人收入占比由上年2.7%升至41.1%；越疆、云深处人形机器人收入占比均未超过5%；乐聚智能2025年全尺寸人形机器人成为主要收入来源（未披露具体比例）（见表4-1、表5-2）。</t>
  </si>
  <si>
    <t>招股说明书概览部分称2025年人形机器人“出货量已超5,500台（纯人形，不含轮式双臂机器人），出货量全球第一”，该“全球第一”为出货量口径且未见独立第三方数据支持，引用时必须同时注明口径与出处；财务口径销量为5,215台，两者相差约300台，不可混用（见表10）。</t>
  </si>
  <si>
    <t>九、必须避免的表述错误（事实与预测的边界）</t>
  </si>
  <si>
    <t>C-25</t>
  </si>
  <si>
    <t>招股说明书披露的2026年1-6月“预计数”是管理层估计，不是已实现业绩，任何场合不得表述为事实。</t>
  </si>
  <si>
    <t>预计区间：营业收入105,200–112,800万元、归母净利润25,800–30,600万元、扣非归母净利润23,600–28,300万元（见表3-4，性质D）。上市公告书披露的实际数：营业总收入115,224.56万元、归母净利润27,399.99万元、扣非归母净利润24,393.03万元（见表3-3，性质C）。对比结果（见表7-8）：实际营收超出预计上限约2.15%（超出区间）；实际归母净利润与扣非归母净利润均落在预计区间内。</t>
  </si>
  <si>
    <t>D vs C</t>
  </si>
  <si>
    <t>招股说明书原文：“上述2026年1-6月财务数据预计为管理层对经营状况的合理估计，不代表公司最终实现的营业收入及净利润，相关数据未经会计师审计或审阅，不构成公司的盈利预测或业绩承诺。”禁止表述：“公司完成了盈利预测”“业绩超预期兑现”“预计营收11.28亿元”（后者在已有实际数时属于误用旧口径）。</t>
  </si>
  <si>
    <t>C-26</t>
  </si>
  <si>
    <t>2026年上半年数据虽为实际发生数，但未经审计，且不会有后续的半年报可供验证。</t>
  </si>
  <si>
    <t>上市公告书载明2026年1-6月主要财务数据未经审计，并明示公司本次发行上市后不再另行披露2026年半年度报告（见表3-3）。同期2026年1-3月数据经容诚会计师事务所审阅（容诚阅字[2026]230Z0038号，性质B）。</t>
  </si>
  <si>
    <t>所有基于2026H1数据的比率、增速、年化测算，引用时必须标注“未经审计”；下一可验证的经审计数据节点为2026年年度报告（预计2027年披露），在此之前的任何2026年全年判断均属推测。</t>
  </si>
  <si>
    <t>C-27</t>
  </si>
  <si>
    <t>本底稿的资料截止日为2026-08-30，此后发生的事项一律未纳入，不构成遗漏。</t>
  </si>
  <si>
    <t>已排除的事项包括：2026-08-31及之后的全部行情数据；2026-09-03披露的公司章程、变更注册资本公告等文件（见表2-2附注、表7-9附注）。纳入的最后交易日为2026-08-28（08-29、08-30为周末）。</t>
  </si>
  <si>
    <t>如需更新，应以2026-08-30为界重新执行取数，并同步更新表7-9的行情测算与表9结论C-21、C-22。</t>
  </si>
  <si>
    <t>待人工核验事项清单（共18项，按优先级排序）</t>
  </si>
  <si>
    <t>本清单列出所有因取数渠道限制、口径歧义、数据缺失或性质为测算/预测而必须经人工复核后方可对外使用的事项。“优先级”分为：高＝影响核心结论或涉及事实与预测的边界；中＝影响比率精度或可比性；低＝表述规范与格式类。“对应底稿位置”可直接定位到需要修订的表与行。</t>
  </si>
  <si>
    <t>待核验事项</t>
  </si>
  <si>
    <t>类型</t>
  </si>
  <si>
    <t>当前底稿的处理方式</t>
  </si>
  <si>
    <t>为何需要人工核验</t>
  </si>
  <si>
    <t>建议核验动作（含具体文件与章节）</t>
  </si>
  <si>
    <t>优先级</t>
  </si>
  <si>
    <t>V-01</t>
  </si>
  <si>
    <t>两份核心 PDF 并非直接取自上海证券交易所官网</t>
  </si>
  <si>
    <t>来源权威性</t>
  </si>
  <si>
    <t>招股说明书（382页，2026-08-14披露）与上市公告书（90页，2026-08-18披露）的 PDF 文件取自东方财富信息披露镜像（pdf.dfcfw.com，art_code 分别为 AN202608131827947910、AN202608171828062024）。全部财务与业务数据均逐字提取自这两份 PDF 原文表格，未使用任何二手财经媒体的转述数据。尝试通过上交所官方公告接口（query.sse.com.cn，productId=688836）获取时返回 total:0、result:[]，未能取得官方托管副本。</t>
  </si>
  <si>
    <t>虽然镜像文件与上交所披露内容通常一致，但镜像存在版本滞后、页面缺漏或被替换的理论风险；本底稿的一切结论都建立在这两份文件之上，属单点依赖。</t>
  </si>
  <si>
    <t>在 www.sse.com.cn「披露」→「上市公司信息」→「科创板的股票」中检索证券代码688836，下载《首次公开发行股票并在科创板上市招股说明书》与《首次公开发行股票科创板上市公告书》官方 PDF，与本底稿所用文件做逐页比对（重点核对表3-1、表3-2、表3-3、表3-4、发行结果与募投项目页），并核对文件 MD5。</t>
  </si>
  <si>
    <t>高</t>
  </si>
  <si>
    <t>V-02</t>
  </si>
  <si>
    <t>2026年上半年数据未经审计，且不会有后续半年报验证</t>
  </si>
  <si>
    <t>表3-3全部行标注性质C，表7-1、表7-2、表7-5、表7-8中涉及2026H1的列均标注“C”，并在附注中说明公司不再单独披露2026年半年报。</t>
  </si>
  <si>
    <t>上市公告书披露的2026年1-6月营业总收入115,224.56万元、归母净利润27,399.99万元、扣非归母净利润24,393.03万元、经营现金流净额23,154.53万元均为未经审计数。结论C-03、C-12（收入与利润/现金流背离）完全建立在这些数据之上。</t>
  </si>
  <si>
    <t>①核对上市公告书原文表格数字与本底稿表3-3是否逐字一致；②确认公告书中“不再另行披露2026年半年度报告”的表述原文；③将2026H1未审数据列入跟踪日历，以2026年年度报告（预计2027年披露）为唯一验证节点。</t>
  </si>
  <si>
    <t>V-03</t>
  </si>
  <si>
    <t>招股说明书中的2026年1-6月“预计数”属性质D，存在被误引为事实的风险</t>
  </si>
  <si>
    <t>事实/预测边界</t>
  </si>
  <si>
    <t>表3-4整表以橙色底纹标示，标题直接写明“【预测数据·非事实】”，并逐字附上招股说明书“不构成公司的盈利预测或业绩承诺”的原文；表7-8将预计与实际分列对比；结论C-25单列禁止表述清单。</t>
  </si>
  <si>
    <t>预计营业收入105,200–112,800万元与实际115,224.56万元并不相同，实际已超出预计上限。若引用时未区分，将同时构成“把预测当事实”与“用过时的预计数覆盖已知实际数”两类错误。</t>
  </si>
  <si>
    <t>①核对招股说明书“重大事项提示”或“财务报告审计截止日后主要经营状况”章节中该预计表的原文与警示语；②对外材料中一律使用表3-3的实际数（性质C），并在脚注说明其未经审计；③检查是否有任何下游文档仍引用105,200–112,800万元区间。</t>
  </si>
  <si>
    <t>V-04</t>
  </si>
  <si>
    <t>人形机器人“出货量超5,500台（全球第一）”与“销量5,215台”的口径差异</t>
  </si>
  <si>
    <t>口径歧义</t>
  </si>
  <si>
    <t>表4-3附注已用橙色标出两个口径，明确“引用全球第一表述时必须使用出货量口径并注明，进行收入测算时必须使用5,215台销量口径”；结论C-24、图表数据区5均使用5,215台；表7-4量价拆解亦基于5,215台。</t>
  </si>
  <si>
    <t>两者相差约300台（约5.5%）。招股说明书概览部分以出货量口径主张“出货量全球第一”，而主营业务收入口径的销量为5,215台。差额可能来自发出商品、样机、试用机或期后确认收入。值得注意的是2025年末发出商品账面价值恰为3,678.85万元，按2025年人形机器人平均单价16.64万元/台测算约相当于221台，与300台的差额方向一致但不足以完全解释。</t>
  </si>
  <si>
    <t>①核对招股说明书“第二节 概览”与“第六节 财务会计信息”中两处表述的原文；②查阅财务报表附注“营业收入—主营业务收入”明细与“存货—发出商品”明细，确认差额的具体构成；③核实“全球第一”是否有第三方研究机构（如IFR、CIER、行业白皮书）数据支持，若无则引用时必须标注为公司自述。</t>
  </si>
  <si>
    <t>V-05</t>
  </si>
  <si>
    <t>2025年末应收账款账面余额为反推测算值，未经原文确认</t>
  </si>
  <si>
    <t>数据缺失/测算</t>
  </si>
  <si>
    <t>表5-4附注与表7-5均已用橙色标明：由前五大应收账款合计1,769.78万元占比28.59%反推余额约6,196万元，标注为性质E·测算；表7-5“应收账款周转率”一行留空并注明“数据缺失，暂不计算”。</t>
  </si>
  <si>
    <t>应收账款余额是计算周转率、以及评估“坏账计提比例低于同业”（结论C-13）影响程度的必要输入。若实际余额显著高于6,196万元，则按同业平均14.07%计提的利润影响将同步放大。</t>
  </si>
  <si>
    <t>在招股说明书“第六节 财务会计信息与管理层分析”中定位“应收账款”小节，取得2023、2024、2025年各期末应收账款账面余额、账龄结构表与坏账准备明细，回填表7-5并补算周转率与敏感性。</t>
  </si>
  <si>
    <t>V-06</t>
  </si>
  <si>
    <t>坏账计提比例显著低于同业，缺乏可独立验证的解释</t>
  </si>
  <si>
    <t>会计估计判断</t>
  </si>
  <si>
    <t>表5-3完整录入公司与四家可比公司三年计提比例，表7-5计算了差额（2025年低8.94个百分点），结论C-13将其列为最重要的会计估计差异点，并指出其与经营现金流背离之间的张力。</t>
  </si>
  <si>
    <t>公司2025年计提比例5.13%，而优必选为29.29%、越疆11.09%、云深处9.70%、乐聚智能6.20%，平均14.07%。招股说明书的解释（账龄较短、周转较快、回款良好）为定性表述，未提供账龄分布数据支撑。同时2026H1经营现金流同比−32.53%与“回款良好”的表述需要调和。</t>
  </si>
  <si>
    <t>①取得招股说明书中应收账款账龄分布表与迁徙率/损失率测算表；②核对2026H1应收账款与合同资产的变动（若有）；③以确认后的余额测算“按同业平均计提”对2025年利润总额的敏感性影响，补入表7-5。</t>
  </si>
  <si>
    <t>V-07</t>
  </si>
  <si>
    <t>2023、2024年存货数据及2024年末应收账款余额未提取</t>
  </si>
  <si>
    <t>表3-1中2023、2024年“存货（账面价值）”行留空（仅2025年有值36,775.34万元）；表7-5存货周转率一行标注“数据缺失”，仅给出2025年以期末存货近似的非标准口径值。</t>
  </si>
  <si>
    <t>缺失期初数导致存货周转率、存货增速、以及存货占收入比例等营运能力指标无法进行时序分析；而存货恰恰是高速放量企业最需要跟踪的科目（结论C-11）。</t>
  </si>
  <si>
    <t>在招股说明书财务报表附注中取得2023-12-31、2024-12-31的存货明细表（原材料/在产品/库存商品/发出商品/跌价准备），回填表3-1并将表7-5存货周转率改为标准平均余额口径。</t>
  </si>
  <si>
    <t>中</t>
  </si>
  <si>
    <t>V-08</t>
  </si>
  <si>
    <t>负债构成明细缺失，“负债上升源于经营性负债”属间接推断</t>
  </si>
  <si>
    <t>数据缺失/推断</t>
  </si>
  <si>
    <t>结论C-14已在“局限”列明确标注该判断基于“财务费用极小（2025年仅98.61万元）”这一间接证据，并注明需以财务报表附注核实。</t>
  </si>
  <si>
    <t>2026H1负债总额较上年末+59.88%、流动负债+55.57%、资产负债率由18.82%升至25.11%，但披露摘要未提供应付账款、合同负债、应付职工薪酬、应交税费、短期借款的分项数据。若其中包含有息负债或大额关联方借款，结论需要修正。</t>
  </si>
  <si>
    <t>查阅招股说明书合并资产负债表全部科目、以及上市公告书2026年6月30日资产负债表（若有），取得负债分项；重点确认是否存在短期借款、长期借款、应付债券。</t>
  </si>
  <si>
    <t>V-09</t>
  </si>
  <si>
    <t>网下配售10%限售6个月的推断未以上市公告书股本结构表原文验证</t>
  </si>
  <si>
    <t>口径推断</t>
  </si>
  <si>
    <t>表7-9以公式测算上市首日无限售条件流通股约30,092,133股，并用首日成交量反算换手率约85.26%，与披露的85.28%基本吻合（差0.02个百分点），以此作为推断的反向验证；该行同时标注“需以《上市公告书》股本结构表原文核验”。</t>
  </si>
  <si>
    <t>该推断影响首日换手率、流通市值、以及后续解禁节奏的判断。虽然换手率校验高度吻合，但仍属间接验证而非直接披露。</t>
  </si>
  <si>
    <t>在上市公告书中定位“本次发行前后的股本结构”或“无限售条件流通股数量”表，直接取得2026-08-19上市首日无限售条件流通股数量与网下限售股数量，回填表7-9并将性质由E改为A。</t>
  </si>
  <si>
    <t>V-10</t>
  </si>
  <si>
    <t>行情数据来自第三方接口，非法定披露内容</t>
  </si>
  <si>
    <t>表2-2与表7-9全部行情行标注性质E、来源S9，附注明确“不属于发行人或上海证券交易所的法定信息披露内容”；结论C-21、C-22亦标注来源为S9。</t>
  </si>
  <si>
    <t>首日收盘价845.00元、盘中最高1,100.00元、2026-08-28收盘价585.00元、成交量与成交额、换手率均来自第三方行情接口。基于这些价格测算的市值（3,417.72亿/4,449.11亿/2,366.12亿元）与静态市盈率、市销率全部为衍生结果。</t>
  </si>
  <si>
    <t>以上海证券交易所官网或 Wind/Choice 终端的688836日线数据逐日核对2026-08-19至2026-08-28的开高低收、成交量、成交额、换手率；核对是否涉及除权除息调整（上市初期通常无）。</t>
  </si>
  <si>
    <t>V-11</t>
  </si>
  <si>
    <t>2026年1-3月与1-6月研发费用仅披露同比增额，未披露绝对值</t>
  </si>
  <si>
    <t>表3-2、表3-3分别录入“研发费用同比增加额3,832.80万元”“8,203.74万元”，表7-1与表7-6在2026Q1/H1列注明“仅披露同比增额”，未反推绝对值，也未据此计算研发费用率。</t>
  </si>
  <si>
    <t>研发投入是判断结论C-03（收入增而利润减）成因的关键变量之一。若按增额反推，2026H1研发费用约在1.5亿元量级，但这属于推算而非披露，本底稿刻意不做。</t>
  </si>
  <si>
    <t>核对招股说明书“财务报告审计截止日后主要财务信息”与上市公告书相关段落原文，确认是否在其他位置（如管理层讨论、研发费用明细表）披露了2026年1-6月研发费用绝对值。</t>
  </si>
  <si>
    <t>V-12</t>
  </si>
  <si>
    <t>宇树科技官方网站等公司自有公开资料未纳入本次取数</t>
  </si>
  <si>
    <t>来源覆盖</t>
  </si>
  <si>
    <t>表01资料来源清单中列示了“宇树科技官网（S10）”作为补充来源，但本底稿全部数据实际仅取自 S1–S9，未从官网提取任何数据；所有产品定价、出货量、市场份额类主张均以招股说明书披露为准。</t>
  </si>
  <si>
    <t>用户要求“优先使用上交所披露文件与宇树科技官方公开资料”。官网可能包含产品定价、新品发布、出货量与全球排名等公司自述信息，可用于交叉验证 V-04 的出货量口径与 C-24 的市场地位结论。</t>
  </si>
  <si>
    <t>访问 unitree.com（及中文站）核对：①在售产品型号与官方标价（与表7-4测算单价16.64万元/台、3.03万元/台对比）；②新闻/媒体中心关于2025年出货量的自述；③是否披露2026年新品或产能规划。核对后在表01补充实际引用日期与页面路径。</t>
  </si>
  <si>
    <t>V-13</t>
  </si>
  <si>
    <t>特别表决权的具体倍数、适用范围与日落条款未提取</t>
  </si>
  <si>
    <t>表6-1录入设置时点（2025-05-16）、王兴兴发行前后直接持股比例与合计控制表决权比例（68.7816%/65.3090%）；结论C-20的“局限”列注明具体倍数、适用范围与日落条款需以公司章程核验。</t>
  </si>
  <si>
    <t>表决权比例与持股比例的差异（发行后21.4395%持股对应65.3090%表决权）隐含了特别表决权倍数，但招股说明书摘要未直接给出“A类股份每份表决权对应B类股份多少份”、是否适用于修改章程/合并分立等重大事项、以及是否存在日落或转换条款。这些直接决定公众股东的实际制衡能力。</t>
  </si>
  <si>
    <t>查阅招股说明书“公司治理”章节与2026-09-03披露的《公司章程》（该文件超出资料截止日，若使用需先更新截止日声明），取得特别表决权股份的具体安排条款。</t>
  </si>
  <si>
    <t>V-14</t>
  </si>
  <si>
    <t>可比公司财务数据的汇率折算与口径一致性</t>
  </si>
  <si>
    <t>口径一致性</t>
  </si>
  <si>
    <t>表5-2直接采用招股说明书同业对比表数据，并在附注中保留“优必选、越疆为港股，按2026-08-05中间价1港元=0.86562人民币折算”的披露口径；结论C-23的“局限”列注明业务结构差异限制了对比有效性。</t>
  </si>
  <si>
    <t>优必选、越疆按港股会计准则（HKFRS/IFRS）编制报表，与A股企业会计准则在收入确认、研发支出资本化、股份支付等方面可能存在差异；折算汇率为单一时点汇率而非期间平均汇率。两者都会影响毛利率与营收CAGR的可比性。</t>
  </si>
  <si>
    <t>①核对招股说明书同业对比表的编制说明与汇率口径原文；②如条件允许，从优必选（9880.HK）、越疆（2432.HK）年报直接取得按IFRS编制的收入与毛利数据，用期间平均汇率重算，与本底稿表7-10对比。</t>
  </si>
  <si>
    <t>V-15</t>
  </si>
  <si>
    <t>股份支付费用34,906.55万元的公允价值假设未提取</t>
  </si>
  <si>
    <t>表3-1录入该金额及其归属（计入管理费用、属非经常性损益、无现金流出），表7-2据此测算剔除后的管理费用率约2.97%，结论C-02以其为核心。但未提取股份支付的公允价值确定方法、估值模型、关键假设（波动率、无风险利率、预期期限）与授予日。</t>
  </si>
  <si>
    <t>该金额是2025年归母净利润被压低31,254.23万元的唯一主因，也是2026年同比失真的根源。若公允价值假设激进或保守，会直接影响“扣非净利59,075.28万元”所代表的真实盈利能力判断。同时它与2025年6月融资投后估值127亿元之间存在直接的定价关联。</t>
  </si>
  <si>
    <t>查阅招股说明书财务报表附注“股份支付”专项说明与“第五节 发行人基本情况”中上海宇翼两次增资的价格、评估方法与估值依据，取得公允价值确定过程。</t>
  </si>
  <si>
    <t>V-16</t>
  </si>
  <si>
    <t>超募资金171,543.80万元的使用安排未见项目化披露</t>
  </si>
  <si>
    <t>披露缺口</t>
  </si>
  <si>
    <t>表7-7以公式测算超募金额与超募比例（40.83%），并在附注中说明“招股说明书与上市公告书未对超募部分作出具体的项目化安排”；结论C-17将其列为上市后治理跟踪事项。</t>
  </si>
  <si>
    <t>募集资金净额591,714.92万元 &gt; 募投项目计划投入420,171.12万元。超募部分的存放方式、是否用于永久补充流动资金、是否变更募投项目，均需董事会与股东大会审议并公告，属于影响股东回报的重大事项。</t>
  </si>
  <si>
    <t>①核对招股说明书“募集资金运用”章节是否有超募资金安排的表述；②跟踪上市后（2026-08-19之后）关于募集资金存放与实际使用情况的专项报告、以及任何变更募投项目或使用超募资金补充流动资金的公告。</t>
  </si>
  <si>
    <t>V-17</t>
  </si>
  <si>
    <t>前五大客户中匿名境外客户的身份与最终销售实现情况无法核实</t>
  </si>
  <si>
    <t>披露限制</t>
  </si>
  <si>
    <t>表5-1按招股说明书原文录入客户名称（多家为“境外客户X（地区）”形式），并保留“不存在向单个客户销售超过50%”“与前五大客户无关联关系”的披露结论；结论C-05在“局限”列注明无法独立核实其身份与最终销售实现。</t>
  </si>
  <si>
    <t>2025年前五大客户中三家为匿名境外客户（欧洲N、亚洲A、亚洲B），合计占8.40%；2023、2024年前五大亦以匿名境外客户为主。若其中包含经销商，则存在渠道压货与最终销售未实现的可能，直接影响收入质量判断（与C-08经销占比上升的线索相关联）。</t>
  </si>
  <si>
    <t>①核对招股说明书“主要客户情况”章节是否披露了前五大客户的销售模式（直销/经销）与信用政策；②查阅经销商管理制度、期末经销商库存与退换货条款的披露；③关注审核问询函回复（若有公开披露）中关于境外客户与经销收入的核查意见。</t>
  </si>
  <si>
    <t>低</t>
  </si>
  <si>
    <t>V-18</t>
  </si>
  <si>
    <t>证券简称、特别表决权标识（“-W”）与上市初期涨跌幅限制等交易安排未逐项核对</t>
  </si>
  <si>
    <t>表述规范</t>
  </si>
  <si>
    <t>封面与表2-1均以“宇树科技股份有限公司（688836.SH）”表述，未使用证券简称；结论C-20的“局限”列注明证券简称是否带“-W”标识需以交易所正式公布为准。</t>
  </si>
  <si>
    <t>存在特别表决权安排的公司，其证券简称通常带有特殊标识；科创板新股上市初期（前5个交易日）无涨跌幅限制、之后为20%。这些交易安排虽不影响财务分析，但影响对外材料的表述准确性。</t>
  </si>
  <si>
    <t>以上海证券交易所官网688836的证券简称为准核对；同时核对上市公告书中关于上市初期交易安排的提示性条款。</t>
  </si>
  <si>
    <t>核验完成后的更新流程：①将修订后的原始数据填入 02–06 表对应单元格；②07_核心计算与08_趋势图表全部由公式驱动，会自动重算与重绘，无需手工修改；③回到本页将对应编号的“优先级”改为“已核验”，并在“当前底稿的处理方式”列追加核验日期与核验人；④若核验结果改变了某条结论，请同步修订 09_分析结论 对应编号，不要另建新行，以保持编号可追溯。</t>
  </si>
  <si>
    <t>本底稿未包含（因资料截止日限制或披露文件未提供）的内容清单</t>
  </si>
  <si>
    <t>①完整的合并资产负债表、利润表、现金流量表与所有者权益变动表（仅提取了招股说明书“主要财务数据”摘要表所列项目）</t>
  </si>
  <si>
    <t>②财务报表附注全部明细（应收账款账龄、存货分项期初数、负债构成、股份支付公允价值假设、政府补助明细、税收优惠明细）</t>
  </si>
  <si>
    <t>③2026年7月1日至2026年8月30日期间发生的经营事项（披露文件中无此期间的财务数据）</t>
  </si>
  <si>
    <t>④2026年8月31日及之后的全部行情与公告（含2026-09-03的公司章程、变更注册资本公告），已按资料截止日主动排除</t>
  </si>
  <si>
    <t>⑤宇树科技官方网站、产品发布会、媒体报道等非披露类信息（未纳入取数范围，见 V-12）</t>
  </si>
  <si>
    <t>⑥任何前瞻性盈利预测、估值目标或投资建议——本底稿不提供，亦不应由本底稿数据推导后对外表述为公司业绩预期</t>
  </si>
  <si>
    <t>⑦分产品型号的单价与毛利拆分（招股说明书仅披露四足/人形两大类的合并单价）</t>
  </si>
  <si>
    <t>⑧在手订单、合同负债、产能利用率等前瞻性经营指标（披露摘要未提供）</t>
  </si>
  <si>
    <t>最后声明：本底稿为基于公开披露文件的信息整理与财务分析工作底稿，不构成任何证券投资建议、评级或估值结论。所有测算值（性质E）与未经审计值（性质B/C）在使用前请按本清单完成人工核验。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</si>
</sst>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quot;元&quot;"/>
    <numFmt numFmtId="177" formatCode="#,##0.0000"/>
    <numFmt numFmtId="178" formatCode="0.0000%"/>
    <numFmt numFmtId="179" formatCode="0.0%"/>
    <numFmt numFmtId="180" formatCode="0.000%"/>
    <numFmt numFmtId="181" formatCode="0.00&quot;倍&quot;"/>
  </numFmts>
  <fonts count="7">
    <font>
      <sz val="11"/>
      <color theme="1"/>
      <name val="宋体"/>
      <family val="2"/>
      <scheme val="minor"/>
    </font>
    <font>
      <b/>
      <sz val="15"/>
      <color rgb="FFFFFFFF"/>
      <name val="宋体"/>
      <family val="3"/>
      <charset val="134"/>
    </font>
    <font>
      <sz val="9"/>
      <color rgb="FF595959"/>
      <name val="宋体"/>
      <family val="3"/>
      <charset val="134"/>
    </font>
    <font>
      <b/>
      <sz val="11"/>
      <color rgb="FFFFFFFF"/>
      <name val="宋体"/>
      <family val="3"/>
      <charset val="134"/>
    </font>
    <font>
      <sz val="10"/>
      <name val="宋体"/>
      <family val="3"/>
      <charset val="134"/>
    </font>
    <font>
      <b/>
      <sz val="10"/>
      <name val="宋体"/>
      <family val="3"/>
      <charset val="134"/>
    </font>
    <font>
      <sz val="9"/>
      <name val="宋体"/>
      <family val="3"/>
      <charset val="134"/>
      <scheme val="minor"/>
    </font>
  </fonts>
  <fills count="10">
    <fill>
      <patternFill patternType="none"/>
    </fill>
    <fill>
      <patternFill patternType="gray125"/>
    </fill>
    <fill>
      <patternFill patternType="solid">
        <fgColor rgb="FF1F3864"/>
      </patternFill>
    </fill>
    <fill>
      <patternFill patternType="solid">
        <fgColor rgb="FFE2EFDA"/>
      </patternFill>
    </fill>
    <fill>
      <patternFill patternType="solid">
        <fgColor rgb="FF2E5C8A"/>
      </patternFill>
    </fill>
    <fill>
      <patternFill patternType="solid">
        <fgColor rgb="FFD9E2F3"/>
      </patternFill>
    </fill>
    <fill>
      <patternFill patternType="solid">
        <fgColor rgb="FFFCE4D6"/>
      </patternFill>
    </fill>
    <fill>
      <patternFill patternType="solid">
        <fgColor rgb="FFFFF2CC"/>
      </patternFill>
    </fill>
    <fill>
      <patternFill patternType="solid">
        <fgColor rgb="FFF2F2F2"/>
      </patternFill>
    </fill>
    <fill>
      <patternFill patternType="solid">
        <fgColor rgb="FFC00000"/>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94">
    <xf numFmtId="0" fontId="0" fillId="0" borderId="0" xfId="0"/>
    <xf numFmtId="0" fontId="4" fillId="0" borderId="1" xfId="0" applyFont="1" applyBorder="1" applyAlignment="1">
      <alignment vertical="top" wrapText="1"/>
    </xf>
    <xf numFmtId="0" fontId="4" fillId="0" borderId="1" xfId="0" applyFont="1" applyBorder="1" applyAlignment="1">
      <alignment vertical="center" wrapText="1"/>
    </xf>
    <xf numFmtId="0" fontId="2" fillId="0" borderId="1" xfId="0" applyFont="1" applyBorder="1" applyAlignment="1">
      <alignment vertical="top" wrapText="1"/>
    </xf>
    <xf numFmtId="0" fontId="5" fillId="5" borderId="1" xfId="0" applyFont="1" applyFill="1" applyBorder="1" applyAlignment="1">
      <alignment horizontal="center" vertical="center" wrapText="1"/>
    </xf>
    <xf numFmtId="0" fontId="4" fillId="8" borderId="1" xfId="0" applyFont="1" applyFill="1" applyBorder="1" applyAlignment="1">
      <alignment vertical="center" wrapText="1"/>
    </xf>
    <xf numFmtId="0" fontId="4" fillId="8" borderId="1" xfId="0" applyFont="1" applyFill="1" applyBorder="1" applyAlignment="1">
      <alignment vertical="top" wrapText="1"/>
    </xf>
    <xf numFmtId="4" fontId="4" fillId="0" borderId="1" xfId="0" applyNumberFormat="1" applyFont="1" applyBorder="1" applyAlignment="1">
      <alignment horizontal="right" vertical="center"/>
    </xf>
    <xf numFmtId="3" fontId="4" fillId="0" borderId="1" xfId="0" applyNumberFormat="1" applyFont="1" applyBorder="1" applyAlignment="1">
      <alignment horizontal="right" vertical="center"/>
    </xf>
    <xf numFmtId="10" fontId="4" fillId="0" borderId="1" xfId="0" applyNumberFormat="1" applyFont="1" applyBorder="1" applyAlignment="1">
      <alignment horizontal="right" vertical="center"/>
    </xf>
    <xf numFmtId="176" fontId="4" fillId="0" borderId="1" xfId="0" applyNumberFormat="1" applyFont="1" applyBorder="1" applyAlignment="1">
      <alignment horizontal="right" vertical="center"/>
    </xf>
    <xf numFmtId="0" fontId="4" fillId="0" borderId="1" xfId="0" applyFont="1" applyBorder="1" applyAlignment="1">
      <alignment vertical="center"/>
    </xf>
    <xf numFmtId="4" fontId="4" fillId="0" borderId="1" xfId="0" applyNumberFormat="1" applyFont="1" applyBorder="1" applyAlignment="1">
      <alignment vertical="center"/>
    </xf>
    <xf numFmtId="3" fontId="4" fillId="0" borderId="1" xfId="0" applyNumberFormat="1" applyFont="1" applyBorder="1" applyAlignment="1">
      <alignment vertical="center"/>
    </xf>
    <xf numFmtId="10" fontId="4" fillId="0" borderId="1" xfId="0" applyNumberFormat="1" applyFont="1" applyBorder="1" applyAlignment="1">
      <alignment vertical="center"/>
    </xf>
    <xf numFmtId="0" fontId="4" fillId="6" borderId="1" xfId="0" applyFont="1" applyFill="1" applyBorder="1" applyAlignment="1">
      <alignment vertical="center" wrapText="1"/>
    </xf>
    <xf numFmtId="0" fontId="4" fillId="6" borderId="1" xfId="0" applyFont="1" applyFill="1" applyBorder="1" applyAlignment="1">
      <alignment vertical="center"/>
    </xf>
    <xf numFmtId="4" fontId="4" fillId="6" borderId="1" xfId="0" applyNumberFormat="1" applyFont="1" applyFill="1" applyBorder="1" applyAlignment="1">
      <alignment horizontal="right" vertical="center"/>
    </xf>
    <xf numFmtId="0" fontId="5" fillId="5" borderId="1" xfId="0" applyFont="1" applyFill="1" applyBorder="1" applyAlignment="1">
      <alignment vertical="center" wrapText="1"/>
    </xf>
    <xf numFmtId="4" fontId="5" fillId="5" borderId="1" xfId="0" applyNumberFormat="1" applyFont="1" applyFill="1" applyBorder="1" applyAlignment="1">
      <alignment horizontal="right" vertical="center"/>
    </xf>
    <xf numFmtId="10" fontId="5" fillId="5" borderId="1" xfId="0" applyNumberFormat="1" applyFont="1" applyFill="1" applyBorder="1" applyAlignment="1">
      <alignment horizontal="right" vertical="center"/>
    </xf>
    <xf numFmtId="0" fontId="4" fillId="0" borderId="1" xfId="0" applyFont="1" applyBorder="1" applyAlignment="1">
      <alignment horizontal="right" vertical="center"/>
    </xf>
    <xf numFmtId="3" fontId="5" fillId="5" borderId="1" xfId="0" applyNumberFormat="1" applyFont="1" applyFill="1" applyBorder="1" applyAlignment="1">
      <alignment horizontal="right" vertical="center"/>
    </xf>
    <xf numFmtId="3" fontId="5" fillId="7" borderId="1" xfId="0" applyNumberFormat="1" applyFont="1" applyFill="1" applyBorder="1" applyAlignment="1">
      <alignment horizontal="right" vertical="center"/>
    </xf>
    <xf numFmtId="0" fontId="5" fillId="7" borderId="1" xfId="0" applyFont="1" applyFill="1" applyBorder="1" applyAlignment="1">
      <alignment vertical="center" wrapText="1"/>
    </xf>
    <xf numFmtId="177" fontId="5" fillId="7" borderId="1" xfId="0" applyNumberFormat="1" applyFont="1" applyFill="1" applyBorder="1" applyAlignment="1">
      <alignment horizontal="right" vertical="center"/>
    </xf>
    <xf numFmtId="178" fontId="5" fillId="7" borderId="1" xfId="0" applyNumberFormat="1" applyFont="1" applyFill="1" applyBorder="1" applyAlignment="1">
      <alignment horizontal="right" vertical="center"/>
    </xf>
    <xf numFmtId="177" fontId="4" fillId="0" borderId="1" xfId="0" applyNumberFormat="1" applyFont="1" applyBorder="1" applyAlignment="1">
      <alignment horizontal="right" vertical="center"/>
    </xf>
    <xf numFmtId="178" fontId="4" fillId="0" borderId="1" xfId="0" applyNumberFormat="1" applyFont="1" applyBorder="1" applyAlignment="1">
      <alignment horizontal="right" vertical="center"/>
    </xf>
    <xf numFmtId="3" fontId="4" fillId="3" borderId="1" xfId="0" applyNumberFormat="1" applyFont="1" applyFill="1" applyBorder="1" applyAlignment="1">
      <alignment horizontal="right" vertical="center"/>
    </xf>
    <xf numFmtId="0" fontId="4" fillId="3" borderId="1" xfId="0" applyFont="1" applyFill="1" applyBorder="1" applyAlignment="1">
      <alignment vertical="center" wrapText="1"/>
    </xf>
    <xf numFmtId="0" fontId="4" fillId="3" borderId="1" xfId="0" applyFont="1" applyFill="1" applyBorder="1" applyAlignment="1">
      <alignment vertical="center"/>
    </xf>
    <xf numFmtId="177" fontId="4" fillId="3" borderId="1" xfId="0" applyNumberFormat="1" applyFont="1" applyFill="1" applyBorder="1" applyAlignment="1">
      <alignment horizontal="right" vertical="center"/>
    </xf>
    <xf numFmtId="178" fontId="4" fillId="3" borderId="1" xfId="0" applyNumberFormat="1" applyFont="1" applyFill="1" applyBorder="1" applyAlignment="1">
      <alignment horizontal="right" vertical="center"/>
    </xf>
    <xf numFmtId="177" fontId="5" fillId="5" borderId="1" xfId="0" applyNumberFormat="1" applyFont="1" applyFill="1" applyBorder="1" applyAlignment="1">
      <alignment horizontal="right" vertical="center"/>
    </xf>
    <xf numFmtId="178" fontId="5" fillId="5" borderId="1" xfId="0" applyNumberFormat="1" applyFont="1" applyFill="1" applyBorder="1" applyAlignment="1">
      <alignment horizontal="right" vertical="center"/>
    </xf>
    <xf numFmtId="0" fontId="5" fillId="0" borderId="1" xfId="0" applyFont="1" applyBorder="1" applyAlignment="1">
      <alignment vertical="center" wrapText="1"/>
    </xf>
    <xf numFmtId="178" fontId="5" fillId="0" borderId="1" xfId="0" applyNumberFormat="1" applyFont="1" applyBorder="1" applyAlignment="1">
      <alignment horizontal="right" vertical="center"/>
    </xf>
    <xf numFmtId="4" fontId="5" fillId="0" borderId="1" xfId="0" applyNumberFormat="1" applyFont="1" applyBorder="1" applyAlignment="1">
      <alignment horizontal="right" vertical="center"/>
    </xf>
    <xf numFmtId="179" fontId="4" fillId="0" borderId="1" xfId="0" applyNumberFormat="1" applyFont="1" applyBorder="1" applyAlignment="1">
      <alignment horizontal="right" vertical="center"/>
    </xf>
    <xf numFmtId="179" fontId="5" fillId="5" borderId="1" xfId="0" applyNumberFormat="1" applyFont="1" applyFill="1" applyBorder="1" applyAlignment="1">
      <alignment horizontal="right" vertical="center"/>
    </xf>
    <xf numFmtId="180" fontId="4" fillId="0" borderId="1" xfId="0" applyNumberFormat="1" applyFont="1" applyBorder="1" applyAlignment="1">
      <alignment horizontal="right" vertical="center"/>
    </xf>
    <xf numFmtId="180" fontId="5" fillId="5" borderId="1" xfId="0" applyNumberFormat="1" applyFont="1" applyFill="1" applyBorder="1" applyAlignment="1">
      <alignment horizontal="right" vertical="center"/>
    </xf>
    <xf numFmtId="4" fontId="4" fillId="0" borderId="1" xfId="0" applyNumberFormat="1" applyFont="1" applyBorder="1" applyAlignment="1">
      <alignment vertical="center" wrapText="1"/>
    </xf>
    <xf numFmtId="10" fontId="4" fillId="0" borderId="1" xfId="0" applyNumberFormat="1" applyFont="1" applyBorder="1" applyAlignment="1">
      <alignment vertical="center" wrapText="1"/>
    </xf>
    <xf numFmtId="0" fontId="5" fillId="3" borderId="1" xfId="0" applyFont="1" applyFill="1" applyBorder="1" applyAlignment="1">
      <alignment vertical="center" wrapText="1"/>
    </xf>
    <xf numFmtId="4" fontId="5" fillId="3" borderId="1" xfId="0" applyNumberFormat="1" applyFont="1" applyFill="1" applyBorder="1" applyAlignment="1">
      <alignment vertical="center" wrapText="1"/>
    </xf>
    <xf numFmtId="10" fontId="5" fillId="3" borderId="1" xfId="0" applyNumberFormat="1" applyFont="1" applyFill="1" applyBorder="1" applyAlignment="1">
      <alignment horizontal="right" vertical="center"/>
    </xf>
    <xf numFmtId="0" fontId="5" fillId="3" borderId="1" xfId="0" applyFont="1" applyFill="1" applyBorder="1" applyAlignment="1">
      <alignment vertical="top" wrapText="1"/>
    </xf>
    <xf numFmtId="10" fontId="5" fillId="3" borderId="1" xfId="0" applyNumberFormat="1" applyFont="1" applyFill="1" applyBorder="1" applyAlignment="1">
      <alignment vertical="center" wrapText="1"/>
    </xf>
    <xf numFmtId="4" fontId="4" fillId="6" borderId="1" xfId="0" applyNumberFormat="1" applyFont="1" applyFill="1" applyBorder="1" applyAlignment="1">
      <alignment vertical="center" wrapText="1"/>
    </xf>
    <xf numFmtId="10" fontId="4" fillId="6" borderId="1" xfId="0" applyNumberFormat="1" applyFont="1" applyFill="1" applyBorder="1" applyAlignment="1">
      <alignment horizontal="right" vertical="center"/>
    </xf>
    <xf numFmtId="10" fontId="4" fillId="6" borderId="1" xfId="0" applyNumberFormat="1" applyFont="1" applyFill="1" applyBorder="1" applyAlignment="1">
      <alignment vertical="center" wrapText="1"/>
    </xf>
    <xf numFmtId="0" fontId="4" fillId="6" borderId="1" xfId="0" applyFont="1" applyFill="1" applyBorder="1" applyAlignment="1">
      <alignment vertical="top" wrapText="1"/>
    </xf>
    <xf numFmtId="0" fontId="5" fillId="6" borderId="1" xfId="0" applyFont="1" applyFill="1" applyBorder="1" applyAlignment="1">
      <alignment vertical="center" wrapText="1"/>
    </xf>
    <xf numFmtId="4" fontId="5" fillId="6" borderId="1" xfId="0" applyNumberFormat="1" applyFont="1" applyFill="1" applyBorder="1" applyAlignment="1">
      <alignment vertical="center" wrapText="1"/>
    </xf>
    <xf numFmtId="10" fontId="5" fillId="6" borderId="1" xfId="0" applyNumberFormat="1" applyFont="1" applyFill="1" applyBorder="1" applyAlignment="1">
      <alignment horizontal="right" vertical="center"/>
    </xf>
    <xf numFmtId="10" fontId="5" fillId="6" borderId="1" xfId="0" applyNumberFormat="1" applyFont="1" applyFill="1" applyBorder="1" applyAlignment="1">
      <alignment vertical="center" wrapText="1"/>
    </xf>
    <xf numFmtId="0" fontId="5" fillId="6" borderId="1" xfId="0" applyFont="1" applyFill="1" applyBorder="1" applyAlignment="1">
      <alignment vertical="top" wrapText="1"/>
    </xf>
    <xf numFmtId="4" fontId="5" fillId="3" borderId="1" xfId="0" applyNumberFormat="1" applyFont="1" applyFill="1" applyBorder="1" applyAlignment="1">
      <alignment horizontal="right" vertical="center"/>
    </xf>
    <xf numFmtId="4" fontId="5" fillId="5" borderId="1" xfId="0" applyNumberFormat="1" applyFont="1" applyFill="1" applyBorder="1" applyAlignment="1">
      <alignment vertical="center" wrapText="1"/>
    </xf>
    <xf numFmtId="0" fontId="5" fillId="5" borderId="1" xfId="0" applyFont="1" applyFill="1" applyBorder="1" applyAlignment="1">
      <alignment vertical="top" wrapText="1"/>
    </xf>
    <xf numFmtId="4" fontId="4" fillId="3" borderId="1" xfId="0" applyNumberFormat="1" applyFont="1" applyFill="1" applyBorder="1" applyAlignment="1">
      <alignment vertical="center" wrapText="1"/>
    </xf>
    <xf numFmtId="4" fontId="4" fillId="3" borderId="1" xfId="0" applyNumberFormat="1" applyFont="1" applyFill="1" applyBorder="1" applyAlignment="1">
      <alignment horizontal="right" vertical="center"/>
    </xf>
    <xf numFmtId="0" fontId="4" fillId="3" borderId="1" xfId="0" applyFont="1" applyFill="1" applyBorder="1" applyAlignment="1">
      <alignment vertical="top" wrapText="1"/>
    </xf>
    <xf numFmtId="181" fontId="4" fillId="0" borderId="1" xfId="0" applyNumberFormat="1" applyFont="1" applyBorder="1" applyAlignment="1">
      <alignment horizontal="right" vertical="center"/>
    </xf>
    <xf numFmtId="181" fontId="5" fillId="3" borderId="1" xfId="0" applyNumberFormat="1" applyFont="1" applyFill="1" applyBorder="1" applyAlignment="1">
      <alignment horizontal="right" vertical="center"/>
    </xf>
    <xf numFmtId="181" fontId="4" fillId="0" borderId="1" xfId="0" applyNumberFormat="1" applyFont="1" applyBorder="1" applyAlignment="1">
      <alignment vertical="center" wrapText="1"/>
    </xf>
    <xf numFmtId="181" fontId="4" fillId="6" borderId="1" xfId="0" applyNumberFormat="1" applyFont="1" applyFill="1" applyBorder="1" applyAlignment="1">
      <alignment vertical="center" wrapText="1"/>
    </xf>
    <xf numFmtId="181" fontId="4" fillId="6" borderId="1" xfId="0" applyNumberFormat="1" applyFont="1" applyFill="1" applyBorder="1" applyAlignment="1">
      <alignment horizontal="right" vertical="center"/>
    </xf>
    <xf numFmtId="181" fontId="5" fillId="6" borderId="1" xfId="0" applyNumberFormat="1" applyFont="1" applyFill="1" applyBorder="1" applyAlignment="1">
      <alignment horizontal="right" vertical="center"/>
    </xf>
    <xf numFmtId="0" fontId="4" fillId="6" borderId="1" xfId="0" applyFont="1" applyFill="1" applyBorder="1" applyAlignment="1">
      <alignment horizontal="right" vertical="center"/>
    </xf>
    <xf numFmtId="3" fontId="4" fillId="6" borderId="1" xfId="0" applyNumberFormat="1" applyFont="1" applyFill="1" applyBorder="1" applyAlignment="1">
      <alignment horizontal="right" vertical="center"/>
    </xf>
    <xf numFmtId="10" fontId="4" fillId="3" borderId="1" xfId="0" applyNumberFormat="1" applyFont="1" applyFill="1" applyBorder="1" applyAlignment="1">
      <alignment horizontal="right" vertical="center"/>
    </xf>
    <xf numFmtId="181" fontId="5" fillId="5" borderId="1" xfId="0" applyNumberFormat="1" applyFont="1" applyFill="1" applyBorder="1" applyAlignment="1">
      <alignment horizontal="right" vertical="center"/>
    </xf>
    <xf numFmtId="178" fontId="4" fillId="6" borderId="1" xfId="0" applyNumberFormat="1" applyFont="1" applyFill="1" applyBorder="1" applyAlignment="1">
      <alignment horizontal="right" vertical="center"/>
    </xf>
    <xf numFmtId="178" fontId="4" fillId="0" borderId="1" xfId="0" applyNumberFormat="1" applyFont="1" applyBorder="1" applyAlignment="1">
      <alignment vertical="center" wrapText="1"/>
    </xf>
    <xf numFmtId="3" fontId="4" fillId="0" borderId="1" xfId="0" applyNumberFormat="1" applyFont="1" applyBorder="1" applyAlignment="1">
      <alignment vertical="center" wrapText="1"/>
    </xf>
    <xf numFmtId="178" fontId="5" fillId="3" borderId="1" xfId="0" applyNumberFormat="1" applyFont="1" applyFill="1" applyBorder="1" applyAlignment="1">
      <alignment vertical="center" wrapText="1"/>
    </xf>
    <xf numFmtId="0" fontId="3" fillId="0" borderId="0" xfId="0" applyFont="1"/>
    <xf numFmtId="0" fontId="4" fillId="7" borderId="1" xfId="0" applyFont="1" applyFill="1" applyBorder="1" applyAlignment="1">
      <alignment vertical="center" wrapText="1"/>
    </xf>
    <xf numFmtId="0" fontId="4" fillId="7" borderId="1" xfId="0" applyFont="1" applyFill="1" applyBorder="1" applyAlignment="1">
      <alignment vertical="top" wrapText="1"/>
    </xf>
    <xf numFmtId="0" fontId="1" fillId="2" borderId="0" xfId="0" applyFont="1" applyFill="1" applyAlignment="1">
      <alignment horizontal="left" vertical="center"/>
    </xf>
    <xf numFmtId="0" fontId="0" fillId="0" borderId="0" xfId="0"/>
    <xf numFmtId="0" fontId="3" fillId="4" borderId="0" xfId="0" applyFont="1" applyFill="1"/>
    <xf numFmtId="0" fontId="2" fillId="6" borderId="0" xfId="0" applyFont="1" applyFill="1" applyAlignment="1">
      <alignment vertical="top" wrapText="1"/>
    </xf>
    <xf numFmtId="0" fontId="2" fillId="3" borderId="0" xfId="0" applyFont="1" applyFill="1" applyAlignment="1">
      <alignment vertical="top" wrapText="1"/>
    </xf>
    <xf numFmtId="0" fontId="2" fillId="7" borderId="0" xfId="0" applyFont="1" applyFill="1" applyAlignment="1">
      <alignment vertical="top" wrapText="1"/>
    </xf>
    <xf numFmtId="0" fontId="3" fillId="4" borderId="0" xfId="0" applyFont="1" applyFill="1" applyAlignment="1">
      <alignment horizontal="left" vertical="center"/>
    </xf>
    <xf numFmtId="0" fontId="1" fillId="9" borderId="0" xfId="0" applyFont="1" applyFill="1" applyAlignment="1">
      <alignment horizontal="left" vertical="center"/>
    </xf>
    <xf numFmtId="0" fontId="2" fillId="0" borderId="1" xfId="0" applyFont="1" applyBorder="1" applyAlignment="1">
      <alignment vertical="top" wrapText="1"/>
    </xf>
    <xf numFmtId="0" fontId="0" fillId="0" borderId="2" xfId="0" applyBorder="1"/>
    <xf numFmtId="0" fontId="0" fillId="0" borderId="3" xfId="0" applyBorder="1"/>
    <xf numFmtId="0" fontId="4" fillId="0" borderId="1" xfId="0" applyFont="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rPr lang="zh-CN" altLang="en-US"/>
              <a:t>图</a:t>
            </a:r>
            <a:r>
              <a:rPr lang="en-US" altLang="zh-CN"/>
              <a:t>1</a:t>
            </a:r>
            <a:r>
              <a:rPr lang="zh-CN" altLang="en-US"/>
              <a:t>　营业收入与同比增速（</a:t>
            </a:r>
            <a:r>
              <a:rPr lang="en-US" altLang="zh-CN"/>
              <a:t>2023–2025</a:t>
            </a:r>
            <a:r>
              <a:rPr lang="zh-CN" altLang="en-US"/>
              <a:t>，性质</a:t>
            </a:r>
            <a:r>
              <a:rPr lang="en"/>
              <a:t>A）</a:t>
            </a:r>
          </a:p>
        </c:rich>
      </c:tx>
      <c:overlay val="1"/>
    </c:title>
    <c:autoTitleDeleted val="0"/>
    <c:plotArea>
      <c:layout/>
      <c:barChart>
        <c:barDir val="col"/>
        <c:grouping val="clustered"/>
        <c:varyColors val="1"/>
        <c:ser>
          <c:idx val="0"/>
          <c:order val="0"/>
          <c:tx>
            <c:strRef>
              <c:f>'08_趋势图表'!$B$4</c:f>
              <c:strCache>
                <c:ptCount val="1"/>
                <c:pt idx="0">
                  <c:v>营业收入</c:v>
                </c:pt>
              </c:strCache>
            </c:strRef>
          </c:tx>
          <c:spPr>
            <a:ln>
              <a:prstDash val="solid"/>
            </a:ln>
          </c:spPr>
          <c:invertIfNegative val="1"/>
          <c:cat>
            <c:strRef>
              <c:f>'08_趋势图表'!$A$5:$A$7</c:f>
              <c:strCache>
                <c:ptCount val="3"/>
                <c:pt idx="0">
                  <c:v>2023年度</c:v>
                </c:pt>
                <c:pt idx="1">
                  <c:v>2024年度</c:v>
                </c:pt>
                <c:pt idx="2">
                  <c:v>2025年度</c:v>
                </c:pt>
              </c:strCache>
            </c:strRef>
          </c:cat>
          <c:val>
            <c:numRef>
              <c:f>'08_趋势图表'!$B$5:$B$7</c:f>
              <c:numCache>
                <c:formatCode>#,##0.00</c:formatCode>
                <c:ptCount val="3"/>
                <c:pt idx="0">
                  <c:v>15913.44</c:v>
                </c:pt>
                <c:pt idx="1">
                  <c:v>78554.14</c:v>
                </c:pt>
                <c:pt idx="2">
                  <c:v>169926.93</c:v>
                </c:pt>
              </c:numCache>
            </c:numRef>
          </c:val>
          <c:extLst>
            <c:ext xmlns:c16="http://schemas.microsoft.com/office/drawing/2014/chart" uri="{C3380CC4-5D6E-409C-BE32-E72D297353CC}">
              <c16:uniqueId val="{00000000-1EDD-D24F-AF80-29B016F83217}"/>
            </c:ext>
          </c:extLst>
        </c:ser>
        <c:dLbls>
          <c:showLegendKey val="0"/>
          <c:showVal val="0"/>
          <c:showCatName val="0"/>
          <c:showSerName val="0"/>
          <c:showPercent val="0"/>
          <c:showBubbleSize val="0"/>
        </c:dLbls>
        <c:gapWidth val="150"/>
        <c:axId val="10"/>
        <c:axId val="100"/>
      </c:barChart>
      <c:lineChart>
        <c:grouping val="standard"/>
        <c:varyColors val="1"/>
        <c:ser>
          <c:idx val="1"/>
          <c:order val="1"/>
          <c:tx>
            <c:strRef>
              <c:f>'08_趋势图表'!$C$4</c:f>
              <c:strCache>
                <c:ptCount val="1"/>
                <c:pt idx="0">
                  <c:v>营业收入同比</c:v>
                </c:pt>
              </c:strCache>
            </c:strRef>
          </c:tx>
          <c:spPr>
            <a:ln>
              <a:prstDash val="solid"/>
            </a:ln>
          </c:spPr>
          <c:marker>
            <c:symbol val="none"/>
          </c:marker>
          <c:val>
            <c:numRef>
              <c:f>'08_趋势图表'!$C$5:$C$7</c:f>
              <c:numCache>
                <c:formatCode>0.00%</c:formatCode>
                <c:ptCount val="3"/>
                <c:pt idx="0">
                  <c:v>0</c:v>
                </c:pt>
                <c:pt idx="1">
                  <c:v>3.936339345861108</c:v>
                </c:pt>
                <c:pt idx="2">
                  <c:v>1.1631823605986904</c:v>
                </c:pt>
              </c:numCache>
            </c:numRef>
          </c:val>
          <c:smooth val="1"/>
          <c:extLst>
            <c:ext xmlns:c16="http://schemas.microsoft.com/office/drawing/2014/chart" uri="{C3380CC4-5D6E-409C-BE32-E72D297353CC}">
              <c16:uniqueId val="{00000001-1EDD-D24F-AF80-29B016F83217}"/>
            </c:ext>
          </c:extLst>
        </c:ser>
        <c:dLbls>
          <c:showLegendKey val="0"/>
          <c:showVal val="0"/>
          <c:showCatName val="0"/>
          <c:showSerName val="0"/>
          <c:showPercent val="0"/>
          <c:showBubbleSize val="0"/>
        </c:dLbls>
        <c:marker val="1"/>
        <c:smooth val="0"/>
        <c:axId val="10"/>
        <c:axId val="2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zh-CN" altLang="en-US"/>
                  <a:t>营业收入（万元）</a:t>
                </a:r>
              </a:p>
            </c:rich>
          </c:tx>
          <c:overlay val="1"/>
        </c:title>
        <c:numFmt formatCode="#,##0.00" sourceLinked="1"/>
        <c:majorTickMark val="none"/>
        <c:minorTickMark val="none"/>
        <c:tickLblPos val="nextTo"/>
        <c:crossAx val="10"/>
        <c:crosses val="autoZero"/>
        <c:crossBetween val="between"/>
      </c:valAx>
      <c:valAx>
        <c:axId val="200"/>
        <c:scaling>
          <c:orientation val="minMax"/>
        </c:scaling>
        <c:delete val="1"/>
        <c:axPos val="l"/>
        <c:majorGridlines/>
        <c:title>
          <c:tx>
            <c:rich>
              <a:bodyPr/>
              <a:lstStyle/>
              <a:p>
                <a:pPr>
                  <a:defRPr/>
                </a:pPr>
                <a:r>
                  <a:rPr lang="zh-CN" altLang="en-US"/>
                  <a:t>营业收入同比增速</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图2　归母净利润 vs 扣非归母净利润（万元，性质A）</a:t>
            </a:r>
          </a:p>
        </c:rich>
      </c:tx>
      <c:overlay val="1"/>
    </c:title>
    <c:autoTitleDeleted val="0"/>
    <c:plotArea>
      <c:layout/>
      <c:barChart>
        <c:barDir val="col"/>
        <c:grouping val="clustered"/>
        <c:varyColors val="1"/>
        <c:ser>
          <c:idx val="0"/>
          <c:order val="0"/>
          <c:tx>
            <c:strRef>
              <c:f>'08_趋势图表'!$D$4</c:f>
              <c:strCache>
                <c:ptCount val="1"/>
                <c:pt idx="0">
                  <c:v>归母净利润</c:v>
                </c:pt>
              </c:strCache>
            </c:strRef>
          </c:tx>
          <c:spPr>
            <a:ln>
              <a:prstDash val="solid"/>
            </a:ln>
          </c:spPr>
          <c:invertIfNegative val="1"/>
          <c:cat>
            <c:strRef>
              <c:f>'08_趋势图表'!$A$5:$A$7</c:f>
              <c:strCache>
                <c:ptCount val="3"/>
                <c:pt idx="0">
                  <c:v>2023年度</c:v>
                </c:pt>
                <c:pt idx="1">
                  <c:v>2024年度</c:v>
                </c:pt>
                <c:pt idx="2">
                  <c:v>2025年度</c:v>
                </c:pt>
              </c:strCache>
            </c:strRef>
          </c:cat>
          <c:val>
            <c:numRef>
              <c:f>'08_趋势图表'!$D$5:$D$7</c:f>
              <c:numCache>
                <c:formatCode>#,##0.00</c:formatCode>
                <c:ptCount val="3"/>
                <c:pt idx="0">
                  <c:v>-1114.51</c:v>
                </c:pt>
                <c:pt idx="1">
                  <c:v>9547.4699999999993</c:v>
                </c:pt>
                <c:pt idx="2">
                  <c:v>27821.05</c:v>
                </c:pt>
              </c:numCache>
            </c:numRef>
          </c:val>
          <c:extLst>
            <c:ext xmlns:c16="http://schemas.microsoft.com/office/drawing/2014/chart" uri="{C3380CC4-5D6E-409C-BE32-E72D297353CC}">
              <c16:uniqueId val="{00000000-EAA4-7749-935E-4CD59849A24E}"/>
            </c:ext>
          </c:extLst>
        </c:ser>
        <c:ser>
          <c:idx val="1"/>
          <c:order val="1"/>
          <c:tx>
            <c:strRef>
              <c:f>'08_趋势图表'!$E$4</c:f>
              <c:strCache>
                <c:ptCount val="1"/>
                <c:pt idx="0">
                  <c:v>扣非归母净利润</c:v>
                </c:pt>
              </c:strCache>
            </c:strRef>
          </c:tx>
          <c:spPr>
            <a:ln>
              <a:prstDash val="solid"/>
            </a:ln>
          </c:spPr>
          <c:invertIfNegative val="1"/>
          <c:cat>
            <c:strRef>
              <c:f>'08_趋势图表'!$A$5:$A$7</c:f>
              <c:strCache>
                <c:ptCount val="3"/>
                <c:pt idx="0">
                  <c:v>2023年度</c:v>
                </c:pt>
                <c:pt idx="1">
                  <c:v>2024年度</c:v>
                </c:pt>
                <c:pt idx="2">
                  <c:v>2025年度</c:v>
                </c:pt>
              </c:strCache>
            </c:strRef>
          </c:cat>
          <c:val>
            <c:numRef>
              <c:f>'08_趋势图表'!$E$5:$E$7</c:f>
              <c:numCache>
                <c:formatCode>#,##0.00</c:formatCode>
                <c:ptCount val="3"/>
                <c:pt idx="0">
                  <c:v>-1801.91</c:v>
                </c:pt>
                <c:pt idx="1">
                  <c:v>7847.65</c:v>
                </c:pt>
                <c:pt idx="2">
                  <c:v>59075.28</c:v>
                </c:pt>
              </c:numCache>
            </c:numRef>
          </c:val>
          <c:extLst>
            <c:ext xmlns:c16="http://schemas.microsoft.com/office/drawing/2014/chart" uri="{C3380CC4-5D6E-409C-BE32-E72D297353CC}">
              <c16:uniqueId val="{00000001-EAA4-7749-935E-4CD59849A24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金额（万元）</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图3　非经常性损益净额（归母−扣非，万元）｜2025年为−31,254.23万元，主因股份支付费用34,906.55万元</a:t>
            </a:r>
          </a:p>
        </c:rich>
      </c:tx>
      <c:overlay val="1"/>
    </c:title>
    <c:autoTitleDeleted val="0"/>
    <c:plotArea>
      <c:layout/>
      <c:barChart>
        <c:barDir val="col"/>
        <c:grouping val="clustered"/>
        <c:varyColors val="1"/>
        <c:ser>
          <c:idx val="0"/>
          <c:order val="0"/>
          <c:tx>
            <c:strRef>
              <c:f>'08_趋势图表'!$F$4</c:f>
              <c:strCache>
                <c:ptCount val="1"/>
                <c:pt idx="0">
                  <c:v>非经常性损益净额</c:v>
                </c:pt>
              </c:strCache>
            </c:strRef>
          </c:tx>
          <c:spPr>
            <a:ln>
              <a:prstDash val="solid"/>
            </a:ln>
          </c:spPr>
          <c:invertIfNegative val="1"/>
          <c:cat>
            <c:strRef>
              <c:f>'08_趋势图表'!$A$5:$A$7</c:f>
              <c:strCache>
                <c:ptCount val="3"/>
                <c:pt idx="0">
                  <c:v>2023年度</c:v>
                </c:pt>
                <c:pt idx="1">
                  <c:v>2024年度</c:v>
                </c:pt>
                <c:pt idx="2">
                  <c:v>2025年度</c:v>
                </c:pt>
              </c:strCache>
            </c:strRef>
          </c:cat>
          <c:val>
            <c:numRef>
              <c:f>'08_趋势图表'!$F$5:$F$7</c:f>
              <c:numCache>
                <c:formatCode>#,##0.00</c:formatCode>
                <c:ptCount val="3"/>
                <c:pt idx="0">
                  <c:v>687.40000000000009</c:v>
                </c:pt>
                <c:pt idx="1">
                  <c:v>1699.8199999999997</c:v>
                </c:pt>
                <c:pt idx="2">
                  <c:v>-31254.23</c:v>
                </c:pt>
              </c:numCache>
            </c:numRef>
          </c:val>
          <c:extLst>
            <c:ext xmlns:c16="http://schemas.microsoft.com/office/drawing/2014/chart" uri="{C3380CC4-5D6E-409C-BE32-E72D297353CC}">
              <c16:uniqueId val="{00000000-00C8-DF4B-8E25-F0EAC0005BF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金额（万元）</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图4　经营活动现金流净额 vs 营业收入（万元，性质A）</a:t>
            </a:r>
          </a:p>
        </c:rich>
      </c:tx>
      <c:overlay val="1"/>
    </c:title>
    <c:autoTitleDeleted val="0"/>
    <c:plotArea>
      <c:layout/>
      <c:barChart>
        <c:barDir val="col"/>
        <c:grouping val="clustered"/>
        <c:varyColors val="1"/>
        <c:ser>
          <c:idx val="0"/>
          <c:order val="0"/>
          <c:tx>
            <c:strRef>
              <c:f>'08_趋势图表'!$G$4</c:f>
              <c:strCache>
                <c:ptCount val="1"/>
                <c:pt idx="0">
                  <c:v>经营活动现金流净额</c:v>
                </c:pt>
              </c:strCache>
            </c:strRef>
          </c:tx>
          <c:spPr>
            <a:ln>
              <a:prstDash val="solid"/>
            </a:ln>
          </c:spPr>
          <c:invertIfNegative val="1"/>
          <c:cat>
            <c:strRef>
              <c:f>'08_趋势图表'!$A$5:$A$7</c:f>
              <c:strCache>
                <c:ptCount val="3"/>
                <c:pt idx="0">
                  <c:v>2023年度</c:v>
                </c:pt>
                <c:pt idx="1">
                  <c:v>2024年度</c:v>
                </c:pt>
                <c:pt idx="2">
                  <c:v>2025年度</c:v>
                </c:pt>
              </c:strCache>
            </c:strRef>
          </c:cat>
          <c:val>
            <c:numRef>
              <c:f>'08_趋势图表'!$G$5:$G$7</c:f>
              <c:numCache>
                <c:formatCode>#,##0.00</c:formatCode>
                <c:ptCount val="3"/>
                <c:pt idx="0">
                  <c:v>494.25</c:v>
                </c:pt>
                <c:pt idx="1">
                  <c:v>19239.13</c:v>
                </c:pt>
                <c:pt idx="2">
                  <c:v>66998.179999999993</c:v>
                </c:pt>
              </c:numCache>
            </c:numRef>
          </c:val>
          <c:extLst>
            <c:ext xmlns:c16="http://schemas.microsoft.com/office/drawing/2014/chart" uri="{C3380CC4-5D6E-409C-BE32-E72D297353CC}">
              <c16:uniqueId val="{00000000-CE8D-0A4D-AF82-070227430F74}"/>
            </c:ext>
          </c:extLst>
        </c:ser>
        <c:ser>
          <c:idx val="1"/>
          <c:order val="1"/>
          <c:tx>
            <c:strRef>
              <c:f>'08_趋势图表'!$B$4</c:f>
              <c:strCache>
                <c:ptCount val="1"/>
                <c:pt idx="0">
                  <c:v>营业收入</c:v>
                </c:pt>
              </c:strCache>
            </c:strRef>
          </c:tx>
          <c:spPr>
            <a:ln>
              <a:prstDash val="solid"/>
            </a:ln>
          </c:spPr>
          <c:invertIfNegative val="1"/>
          <c:cat>
            <c:strRef>
              <c:f>'08_趋势图表'!$A$5:$A$7</c:f>
              <c:strCache>
                <c:ptCount val="3"/>
                <c:pt idx="0">
                  <c:v>2023年度</c:v>
                </c:pt>
                <c:pt idx="1">
                  <c:v>2024年度</c:v>
                </c:pt>
                <c:pt idx="2">
                  <c:v>2025年度</c:v>
                </c:pt>
              </c:strCache>
            </c:strRef>
          </c:cat>
          <c:val>
            <c:numRef>
              <c:f>'08_趋势图表'!$B$5:$B$7</c:f>
              <c:numCache>
                <c:formatCode>#,##0.00</c:formatCode>
                <c:ptCount val="3"/>
                <c:pt idx="0">
                  <c:v>15913.44</c:v>
                </c:pt>
                <c:pt idx="1">
                  <c:v>78554.14</c:v>
                </c:pt>
                <c:pt idx="2">
                  <c:v>169926.93</c:v>
                </c:pt>
              </c:numCache>
            </c:numRef>
          </c:val>
          <c:extLst>
            <c:ext xmlns:c16="http://schemas.microsoft.com/office/drawing/2014/chart" uri="{C3380CC4-5D6E-409C-BE32-E72D297353CC}">
              <c16:uniqueId val="{00000001-CE8D-0A4D-AF82-070227430F7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金额（万元）</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2"/>
  <c:chart>
    <c:title>
      <c:tx>
        <c:rich>
          <a:bodyPr/>
          <a:lstStyle/>
          <a:p>
            <a:pPr>
              <a:defRPr/>
            </a:pPr>
            <a:r>
              <a:t>图5　盈利能力趋势：综合毛利率与扣非归母净利率（性质A/E）</a:t>
            </a:r>
          </a:p>
        </c:rich>
      </c:tx>
      <c:overlay val="1"/>
    </c:title>
    <c:autoTitleDeleted val="0"/>
    <c:plotArea>
      <c:layout/>
      <c:lineChart>
        <c:grouping val="standard"/>
        <c:varyColors val="1"/>
        <c:ser>
          <c:idx val="0"/>
          <c:order val="0"/>
          <c:tx>
            <c:strRef>
              <c:f>'08_趋势图表'!$B$10</c:f>
              <c:strCache>
                <c:ptCount val="1"/>
                <c:pt idx="0">
                  <c:v>综合毛利率</c:v>
                </c:pt>
              </c:strCache>
            </c:strRef>
          </c:tx>
          <c:spPr>
            <a:ln>
              <a:prstDash val="solid"/>
            </a:ln>
          </c:spPr>
          <c:marker>
            <c:symbol val="none"/>
          </c:marker>
          <c:cat>
            <c:strRef>
              <c:f>'08_趋势图表'!$A$11:$A$13</c:f>
              <c:strCache>
                <c:ptCount val="3"/>
                <c:pt idx="0">
                  <c:v>2023年度</c:v>
                </c:pt>
                <c:pt idx="1">
                  <c:v>2024年度</c:v>
                </c:pt>
                <c:pt idx="2">
                  <c:v>2025年度</c:v>
                </c:pt>
              </c:strCache>
            </c:strRef>
          </c:cat>
          <c:val>
            <c:numRef>
              <c:f>'08_趋势图表'!$B$11:$B$13</c:f>
              <c:numCache>
                <c:formatCode>0.00%</c:formatCode>
                <c:ptCount val="3"/>
                <c:pt idx="0">
                  <c:v>0.44750000000000001</c:v>
                </c:pt>
                <c:pt idx="1">
                  <c:v>0.57220000000000004</c:v>
                </c:pt>
                <c:pt idx="2">
                  <c:v>0.60440000000000005</c:v>
                </c:pt>
              </c:numCache>
            </c:numRef>
          </c:val>
          <c:smooth val="1"/>
          <c:extLst>
            <c:ext xmlns:c16="http://schemas.microsoft.com/office/drawing/2014/chart" uri="{C3380CC4-5D6E-409C-BE32-E72D297353CC}">
              <c16:uniqueId val="{00000000-FF2F-5B48-8521-504AF13DA0F2}"/>
            </c:ext>
          </c:extLst>
        </c:ser>
        <c:ser>
          <c:idx val="1"/>
          <c:order val="1"/>
          <c:tx>
            <c:strRef>
              <c:f>'08_趋势图表'!$C$10</c:f>
              <c:strCache>
                <c:ptCount val="1"/>
                <c:pt idx="0">
                  <c:v>扣非归母净利率</c:v>
                </c:pt>
              </c:strCache>
            </c:strRef>
          </c:tx>
          <c:spPr>
            <a:ln>
              <a:prstDash val="solid"/>
            </a:ln>
          </c:spPr>
          <c:marker>
            <c:symbol val="none"/>
          </c:marker>
          <c:cat>
            <c:strRef>
              <c:f>'08_趋势图表'!$A$11:$A$13</c:f>
              <c:strCache>
                <c:ptCount val="3"/>
                <c:pt idx="0">
                  <c:v>2023年度</c:v>
                </c:pt>
                <c:pt idx="1">
                  <c:v>2024年度</c:v>
                </c:pt>
                <c:pt idx="2">
                  <c:v>2025年度</c:v>
                </c:pt>
              </c:strCache>
            </c:strRef>
          </c:cat>
          <c:val>
            <c:numRef>
              <c:f>'08_趋势图表'!$C$11:$C$13</c:f>
              <c:numCache>
                <c:formatCode>0.00%</c:formatCode>
                <c:ptCount val="3"/>
                <c:pt idx="0">
                  <c:v>-0.11323195990307564</c:v>
                </c:pt>
                <c:pt idx="1">
                  <c:v>9.9901163706966931E-2</c:v>
                </c:pt>
                <c:pt idx="2">
                  <c:v>0.34765107567117232</c:v>
                </c:pt>
              </c:numCache>
            </c:numRef>
          </c:val>
          <c:smooth val="1"/>
          <c:extLst>
            <c:ext xmlns:c16="http://schemas.microsoft.com/office/drawing/2014/chart" uri="{C3380CC4-5D6E-409C-BE32-E72D297353CC}">
              <c16:uniqueId val="{00000001-FF2F-5B48-8521-504AF13DA0F2}"/>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比率</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2"/>
  <c:chart>
    <c:title>
      <c:tx>
        <c:rich>
          <a:bodyPr/>
          <a:lstStyle/>
          <a:p>
            <a:pPr>
              <a:defRPr/>
            </a:pPr>
            <a:r>
              <a:t>图6　费用率趋势（含剔除股份支付的管理费用率，性质A/E）</a:t>
            </a:r>
          </a:p>
        </c:rich>
      </c:tx>
      <c:overlay val="1"/>
    </c:title>
    <c:autoTitleDeleted val="0"/>
    <c:plotArea>
      <c:layout/>
      <c:lineChart>
        <c:grouping val="standard"/>
        <c:varyColors val="1"/>
        <c:ser>
          <c:idx val="0"/>
          <c:order val="0"/>
          <c:tx>
            <c:strRef>
              <c:f>'08_趋势图表'!$D$10</c:f>
              <c:strCache>
                <c:ptCount val="1"/>
                <c:pt idx="0">
                  <c:v>销售费用率</c:v>
                </c:pt>
              </c:strCache>
            </c:strRef>
          </c:tx>
          <c:spPr>
            <a:ln>
              <a:prstDash val="solid"/>
            </a:ln>
          </c:spPr>
          <c:marker>
            <c:symbol val="none"/>
          </c:marker>
          <c:cat>
            <c:strRef>
              <c:f>'08_趋势图表'!$A$11:$A$13</c:f>
              <c:strCache>
                <c:ptCount val="3"/>
                <c:pt idx="0">
                  <c:v>2023年度</c:v>
                </c:pt>
                <c:pt idx="1">
                  <c:v>2024年度</c:v>
                </c:pt>
                <c:pt idx="2">
                  <c:v>2025年度</c:v>
                </c:pt>
              </c:strCache>
            </c:strRef>
          </c:cat>
          <c:val>
            <c:numRef>
              <c:f>'08_趋势图表'!$D$11:$D$13</c:f>
              <c:numCache>
                <c:formatCode>0.00%</c:formatCode>
                <c:ptCount val="3"/>
                <c:pt idx="0">
                  <c:v>0.23702166219246121</c:v>
                </c:pt>
                <c:pt idx="1">
                  <c:v>7.5309207127721087E-2</c:v>
                </c:pt>
                <c:pt idx="2">
                  <c:v>8.3096422680030771E-2</c:v>
                </c:pt>
              </c:numCache>
            </c:numRef>
          </c:val>
          <c:smooth val="1"/>
          <c:extLst>
            <c:ext xmlns:c16="http://schemas.microsoft.com/office/drawing/2014/chart" uri="{C3380CC4-5D6E-409C-BE32-E72D297353CC}">
              <c16:uniqueId val="{00000000-D19F-1F44-9373-001A8510BA23}"/>
            </c:ext>
          </c:extLst>
        </c:ser>
        <c:ser>
          <c:idx val="1"/>
          <c:order val="1"/>
          <c:tx>
            <c:strRef>
              <c:f>'08_趋势图表'!$E$10</c:f>
              <c:strCache>
                <c:ptCount val="1"/>
                <c:pt idx="0">
                  <c:v>管理费用率</c:v>
                </c:pt>
              </c:strCache>
            </c:strRef>
          </c:tx>
          <c:spPr>
            <a:ln>
              <a:prstDash val="solid"/>
            </a:ln>
          </c:spPr>
          <c:marker>
            <c:symbol val="none"/>
          </c:marker>
          <c:cat>
            <c:strRef>
              <c:f>'08_趋势图表'!$A$11:$A$13</c:f>
              <c:strCache>
                <c:ptCount val="3"/>
                <c:pt idx="0">
                  <c:v>2023年度</c:v>
                </c:pt>
                <c:pt idx="1">
                  <c:v>2024年度</c:v>
                </c:pt>
                <c:pt idx="2">
                  <c:v>2025年度</c:v>
                </c:pt>
              </c:strCache>
            </c:strRef>
          </c:cat>
          <c:val>
            <c:numRef>
              <c:f>'08_趋势图表'!$E$11:$E$13</c:f>
              <c:numCache>
                <c:formatCode>0.00%</c:formatCode>
                <c:ptCount val="3"/>
                <c:pt idx="0">
                  <c:v>8.3753104294231787E-2</c:v>
                </c:pt>
                <c:pt idx="1">
                  <c:v>3.1831804154434123E-2</c:v>
                </c:pt>
                <c:pt idx="2">
                  <c:v>0.23515760568380775</c:v>
                </c:pt>
              </c:numCache>
            </c:numRef>
          </c:val>
          <c:smooth val="1"/>
          <c:extLst>
            <c:ext xmlns:c16="http://schemas.microsoft.com/office/drawing/2014/chart" uri="{C3380CC4-5D6E-409C-BE32-E72D297353CC}">
              <c16:uniqueId val="{00000001-D19F-1F44-9373-001A8510BA23}"/>
            </c:ext>
          </c:extLst>
        </c:ser>
        <c:ser>
          <c:idx val="2"/>
          <c:order val="2"/>
          <c:tx>
            <c:strRef>
              <c:f>'08_趋势图表'!$F$10</c:f>
              <c:strCache>
                <c:ptCount val="1"/>
                <c:pt idx="0">
                  <c:v>管理费用率(剔除股份支付)</c:v>
                </c:pt>
              </c:strCache>
            </c:strRef>
          </c:tx>
          <c:spPr>
            <a:ln>
              <a:prstDash val="solid"/>
            </a:ln>
          </c:spPr>
          <c:marker>
            <c:symbol val="none"/>
          </c:marker>
          <c:cat>
            <c:strRef>
              <c:f>'08_趋势图表'!$A$11:$A$13</c:f>
              <c:strCache>
                <c:ptCount val="3"/>
                <c:pt idx="0">
                  <c:v>2023年度</c:v>
                </c:pt>
                <c:pt idx="1">
                  <c:v>2024年度</c:v>
                </c:pt>
                <c:pt idx="2">
                  <c:v>2025年度</c:v>
                </c:pt>
              </c:strCache>
            </c:strRef>
          </c:cat>
          <c:val>
            <c:numRef>
              <c:f>'08_趋势图表'!$F$11:$F$13</c:f>
              <c:numCache>
                <c:formatCode>0.00%</c:formatCode>
                <c:ptCount val="3"/>
                <c:pt idx="0">
                  <c:v>8.3753104294231787E-2</c:v>
                </c:pt>
                <c:pt idx="1">
                  <c:v>3.1831804154434123E-2</c:v>
                </c:pt>
                <c:pt idx="2">
                  <c:v>2.9736663870759024E-2</c:v>
                </c:pt>
              </c:numCache>
            </c:numRef>
          </c:val>
          <c:smooth val="1"/>
          <c:extLst>
            <c:ext xmlns:c16="http://schemas.microsoft.com/office/drawing/2014/chart" uri="{C3380CC4-5D6E-409C-BE32-E72D297353CC}">
              <c16:uniqueId val="{00000002-D19F-1F44-9373-001A8510BA23}"/>
            </c:ext>
          </c:extLst>
        </c:ser>
        <c:ser>
          <c:idx val="3"/>
          <c:order val="3"/>
          <c:tx>
            <c:strRef>
              <c:f>'08_趋势图表'!$G$10</c:f>
              <c:strCache>
                <c:ptCount val="1"/>
                <c:pt idx="0">
                  <c:v>研发费用率</c:v>
                </c:pt>
              </c:strCache>
            </c:strRef>
          </c:tx>
          <c:spPr>
            <a:ln>
              <a:prstDash val="solid"/>
            </a:ln>
          </c:spPr>
          <c:marker>
            <c:symbol val="none"/>
          </c:marker>
          <c:cat>
            <c:strRef>
              <c:f>'08_趋势图表'!$A$11:$A$13</c:f>
              <c:strCache>
                <c:ptCount val="3"/>
                <c:pt idx="0">
                  <c:v>2023年度</c:v>
                </c:pt>
                <c:pt idx="1">
                  <c:v>2024年度</c:v>
                </c:pt>
                <c:pt idx="2">
                  <c:v>2025年度</c:v>
                </c:pt>
              </c:strCache>
            </c:strRef>
          </c:cat>
          <c:val>
            <c:numRef>
              <c:f>'08_趋势图表'!$G$11:$G$13</c:f>
              <c:numCache>
                <c:formatCode>0.00%</c:formatCode>
                <c:ptCount val="3"/>
                <c:pt idx="0">
                  <c:v>0.31389693240430733</c:v>
                </c:pt>
                <c:pt idx="1">
                  <c:v>8.9132157770424325E-2</c:v>
                </c:pt>
                <c:pt idx="2">
                  <c:v>8.531055083499714E-2</c:v>
                </c:pt>
              </c:numCache>
            </c:numRef>
          </c:val>
          <c:smooth val="1"/>
          <c:extLst>
            <c:ext xmlns:c16="http://schemas.microsoft.com/office/drawing/2014/chart" uri="{C3380CC4-5D6E-409C-BE32-E72D297353CC}">
              <c16:uniqueId val="{00000003-D19F-1F44-9373-001A8510BA23}"/>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比率</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图7　主营业务收入产品构成（堆积，万元，性质A）</a:t>
            </a:r>
          </a:p>
        </c:rich>
      </c:tx>
      <c:overlay val="1"/>
    </c:title>
    <c:autoTitleDeleted val="0"/>
    <c:plotArea>
      <c:layout/>
      <c:barChart>
        <c:barDir val="col"/>
        <c:grouping val="stacked"/>
        <c:varyColors val="1"/>
        <c:ser>
          <c:idx val="0"/>
          <c:order val="0"/>
          <c:tx>
            <c:strRef>
              <c:f>'08_趋势图表'!$B$16</c:f>
              <c:strCache>
                <c:ptCount val="1"/>
                <c:pt idx="0">
                  <c:v>2023收入</c:v>
                </c:pt>
              </c:strCache>
            </c:strRef>
          </c:tx>
          <c:spPr>
            <a:ln>
              <a:prstDash val="solid"/>
            </a:ln>
          </c:spPr>
          <c:invertIfNegative val="1"/>
          <c:cat>
            <c:strRef>
              <c:f>'08_趋势图表'!$A$17:$A$20</c:f>
              <c:strCache>
                <c:ptCount val="4"/>
                <c:pt idx="0">
                  <c:v>四足机器人</c:v>
                </c:pt>
                <c:pt idx="1">
                  <c:v>人形机器人</c:v>
                </c:pt>
                <c:pt idx="2">
                  <c:v>机器人组件</c:v>
                </c:pt>
                <c:pt idx="3">
                  <c:v>其他</c:v>
                </c:pt>
              </c:strCache>
            </c:strRef>
          </c:cat>
          <c:val>
            <c:numRef>
              <c:f>'08_趋势图表'!$B$17:$B$20</c:f>
              <c:numCache>
                <c:formatCode>#,##0.00</c:formatCode>
                <c:ptCount val="4"/>
                <c:pt idx="0">
                  <c:v>11938.09</c:v>
                </c:pt>
                <c:pt idx="1">
                  <c:v>296.70999999999998</c:v>
                </c:pt>
                <c:pt idx="2">
                  <c:v>2692.34</c:v>
                </c:pt>
                <c:pt idx="3">
                  <c:v>826.51</c:v>
                </c:pt>
              </c:numCache>
            </c:numRef>
          </c:val>
          <c:extLst>
            <c:ext xmlns:c16="http://schemas.microsoft.com/office/drawing/2014/chart" uri="{C3380CC4-5D6E-409C-BE32-E72D297353CC}">
              <c16:uniqueId val="{00000000-A2EF-0D4A-A307-F08F9643B3DE}"/>
            </c:ext>
          </c:extLst>
        </c:ser>
        <c:ser>
          <c:idx val="1"/>
          <c:order val="1"/>
          <c:tx>
            <c:strRef>
              <c:f>'08_趋势图表'!$C$16</c:f>
              <c:strCache>
                <c:ptCount val="1"/>
                <c:pt idx="0">
                  <c:v>2024收入</c:v>
                </c:pt>
              </c:strCache>
            </c:strRef>
          </c:tx>
          <c:spPr>
            <a:ln>
              <a:prstDash val="solid"/>
            </a:ln>
          </c:spPr>
          <c:invertIfNegative val="1"/>
          <c:cat>
            <c:strRef>
              <c:f>'08_趋势图表'!$A$17:$A$20</c:f>
              <c:strCache>
                <c:ptCount val="4"/>
                <c:pt idx="0">
                  <c:v>四足机器人</c:v>
                </c:pt>
                <c:pt idx="1">
                  <c:v>人形机器人</c:v>
                </c:pt>
                <c:pt idx="2">
                  <c:v>机器人组件</c:v>
                </c:pt>
                <c:pt idx="3">
                  <c:v>其他</c:v>
                </c:pt>
              </c:strCache>
            </c:strRef>
          </c:cat>
          <c:val>
            <c:numRef>
              <c:f>'08_趋势图表'!$C$17:$C$20</c:f>
              <c:numCache>
                <c:formatCode>#,##0.00</c:formatCode>
                <c:ptCount val="4"/>
                <c:pt idx="0">
                  <c:v>23054.37</c:v>
                </c:pt>
                <c:pt idx="1">
                  <c:v>10729.76</c:v>
                </c:pt>
                <c:pt idx="2">
                  <c:v>4453.82</c:v>
                </c:pt>
                <c:pt idx="3">
                  <c:v>529.33000000000004</c:v>
                </c:pt>
              </c:numCache>
            </c:numRef>
          </c:val>
          <c:extLst>
            <c:ext xmlns:c16="http://schemas.microsoft.com/office/drawing/2014/chart" uri="{C3380CC4-5D6E-409C-BE32-E72D297353CC}">
              <c16:uniqueId val="{00000001-A2EF-0D4A-A307-F08F9643B3DE}"/>
            </c:ext>
          </c:extLst>
        </c:ser>
        <c:ser>
          <c:idx val="2"/>
          <c:order val="2"/>
          <c:tx>
            <c:strRef>
              <c:f>'08_趋势图表'!$D$16</c:f>
              <c:strCache>
                <c:ptCount val="1"/>
                <c:pt idx="0">
                  <c:v>2025收入</c:v>
                </c:pt>
              </c:strCache>
            </c:strRef>
          </c:tx>
          <c:spPr>
            <a:ln>
              <a:prstDash val="solid"/>
            </a:ln>
          </c:spPr>
          <c:invertIfNegative val="1"/>
          <c:cat>
            <c:strRef>
              <c:f>'08_趋势图表'!$A$17:$A$20</c:f>
              <c:strCache>
                <c:ptCount val="4"/>
                <c:pt idx="0">
                  <c:v>四足机器人</c:v>
                </c:pt>
                <c:pt idx="1">
                  <c:v>人形机器人</c:v>
                </c:pt>
                <c:pt idx="2">
                  <c:v>机器人组件</c:v>
                </c:pt>
                <c:pt idx="3">
                  <c:v>其他</c:v>
                </c:pt>
              </c:strCache>
            </c:strRef>
          </c:cat>
          <c:val>
            <c:numRef>
              <c:f>'08_趋势图表'!$D$17:$D$20</c:f>
              <c:numCache>
                <c:formatCode>#,##0.00</c:formatCode>
                <c:ptCount val="4"/>
                <c:pt idx="0">
                  <c:v>69762.559999999998</c:v>
                </c:pt>
                <c:pt idx="1">
                  <c:v>86783.19</c:v>
                </c:pt>
                <c:pt idx="2">
                  <c:v>10373.67</c:v>
                </c:pt>
                <c:pt idx="3">
                  <c:v>691.67</c:v>
                </c:pt>
              </c:numCache>
            </c:numRef>
          </c:val>
          <c:extLst>
            <c:ext xmlns:c16="http://schemas.microsoft.com/office/drawing/2014/chart" uri="{C3380CC4-5D6E-409C-BE32-E72D297353CC}">
              <c16:uniqueId val="{00000002-A2EF-0D4A-A307-F08F9643B3DE}"/>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主营业务收入（万元）</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2"/>
  <c:chart>
    <c:title>
      <c:tx>
        <c:rich>
          <a:bodyPr/>
          <a:lstStyle/>
          <a:p>
            <a:pPr>
              <a:defRPr/>
            </a:pPr>
            <a:r>
              <a:t>图8　分产品毛利率趋势（性质E·测算）</a:t>
            </a:r>
          </a:p>
        </c:rich>
      </c:tx>
      <c:overlay val="1"/>
    </c:title>
    <c:autoTitleDeleted val="0"/>
    <c:plotArea>
      <c:layout/>
      <c:lineChart>
        <c:grouping val="standard"/>
        <c:varyColors val="1"/>
        <c:ser>
          <c:idx val="0"/>
          <c:order val="0"/>
          <c:tx>
            <c:strRef>
              <c:f>'08_趋势图表'!$B$23</c:f>
              <c:strCache>
                <c:ptCount val="1"/>
                <c:pt idx="0">
                  <c:v>2023毛利率</c:v>
                </c:pt>
              </c:strCache>
            </c:strRef>
          </c:tx>
          <c:spPr>
            <a:ln>
              <a:prstDash val="solid"/>
            </a:ln>
          </c:spPr>
          <c:marker>
            <c:symbol val="none"/>
          </c:marker>
          <c:cat>
            <c:strRef>
              <c:f>'08_趋势图表'!$A$24:$A$26</c:f>
              <c:strCache>
                <c:ptCount val="3"/>
                <c:pt idx="0">
                  <c:v>四足机器人</c:v>
                </c:pt>
                <c:pt idx="1">
                  <c:v>人形机器人</c:v>
                </c:pt>
                <c:pt idx="2">
                  <c:v>机器人组件</c:v>
                </c:pt>
              </c:strCache>
            </c:strRef>
          </c:cat>
          <c:val>
            <c:numRef>
              <c:f>'08_趋势图表'!$B$24:$B$26</c:f>
              <c:numCache>
                <c:formatCode>0.00%</c:formatCode>
                <c:ptCount val="3"/>
                <c:pt idx="0">
                  <c:v>0.43710677336156789</c:v>
                </c:pt>
                <c:pt idx="1">
                  <c:v>0.87668093424555971</c:v>
                </c:pt>
                <c:pt idx="2">
                  <c:v>0.48764271971593487</c:v>
                </c:pt>
              </c:numCache>
            </c:numRef>
          </c:val>
          <c:smooth val="1"/>
          <c:extLst>
            <c:ext xmlns:c16="http://schemas.microsoft.com/office/drawing/2014/chart" uri="{C3380CC4-5D6E-409C-BE32-E72D297353CC}">
              <c16:uniqueId val="{00000000-4B17-D548-8507-A08922871741}"/>
            </c:ext>
          </c:extLst>
        </c:ser>
        <c:ser>
          <c:idx val="1"/>
          <c:order val="1"/>
          <c:tx>
            <c:strRef>
              <c:f>'08_趋势图表'!$C$23</c:f>
              <c:strCache>
                <c:ptCount val="1"/>
                <c:pt idx="0">
                  <c:v>2024毛利率</c:v>
                </c:pt>
              </c:strCache>
            </c:strRef>
          </c:tx>
          <c:spPr>
            <a:ln>
              <a:prstDash val="solid"/>
            </a:ln>
          </c:spPr>
          <c:marker>
            <c:symbol val="none"/>
          </c:marker>
          <c:cat>
            <c:strRef>
              <c:f>'08_趋势图表'!$A$24:$A$26</c:f>
              <c:strCache>
                <c:ptCount val="3"/>
                <c:pt idx="0">
                  <c:v>四足机器人</c:v>
                </c:pt>
                <c:pt idx="1">
                  <c:v>人形机器人</c:v>
                </c:pt>
                <c:pt idx="2">
                  <c:v>机器人组件</c:v>
                </c:pt>
              </c:strCache>
            </c:strRef>
          </c:cat>
          <c:val>
            <c:numRef>
              <c:f>'08_趋势图表'!$C$24:$C$26</c:f>
              <c:numCache>
                <c:formatCode>0.00%</c:formatCode>
                <c:ptCount val="3"/>
                <c:pt idx="0">
                  <c:v>0.51646954568699988</c:v>
                </c:pt>
                <c:pt idx="1">
                  <c:v>0.69255789505077459</c:v>
                </c:pt>
                <c:pt idx="2">
                  <c:v>0.5693517025834004</c:v>
                </c:pt>
              </c:numCache>
            </c:numRef>
          </c:val>
          <c:smooth val="1"/>
          <c:extLst>
            <c:ext xmlns:c16="http://schemas.microsoft.com/office/drawing/2014/chart" uri="{C3380CC4-5D6E-409C-BE32-E72D297353CC}">
              <c16:uniqueId val="{00000001-4B17-D548-8507-A08922871741}"/>
            </c:ext>
          </c:extLst>
        </c:ser>
        <c:ser>
          <c:idx val="2"/>
          <c:order val="2"/>
          <c:tx>
            <c:strRef>
              <c:f>'08_趋势图表'!$D$23</c:f>
              <c:strCache>
                <c:ptCount val="1"/>
                <c:pt idx="0">
                  <c:v>2025毛利率</c:v>
                </c:pt>
              </c:strCache>
            </c:strRef>
          </c:tx>
          <c:spPr>
            <a:ln>
              <a:prstDash val="solid"/>
            </a:ln>
          </c:spPr>
          <c:marker>
            <c:symbol val="none"/>
          </c:marker>
          <c:cat>
            <c:strRef>
              <c:f>'08_趋势图表'!$A$24:$A$26</c:f>
              <c:strCache>
                <c:ptCount val="3"/>
                <c:pt idx="0">
                  <c:v>四足机器人</c:v>
                </c:pt>
                <c:pt idx="1">
                  <c:v>人形机器人</c:v>
                </c:pt>
                <c:pt idx="2">
                  <c:v>机器人组件</c:v>
                </c:pt>
              </c:strCache>
            </c:strRef>
          </c:cat>
          <c:val>
            <c:numRef>
              <c:f>'08_趋势图表'!$D$24:$D$26</c:f>
              <c:numCache>
                <c:formatCode>0.00%</c:formatCode>
                <c:ptCount val="3"/>
                <c:pt idx="0">
                  <c:v>0.567197648710139</c:v>
                </c:pt>
                <c:pt idx="1">
                  <c:v>0.6317652070637183</c:v>
                </c:pt>
                <c:pt idx="2">
                  <c:v>0.59356139148440235</c:v>
                </c:pt>
              </c:numCache>
            </c:numRef>
          </c:val>
          <c:smooth val="1"/>
          <c:extLst>
            <c:ext xmlns:c16="http://schemas.microsoft.com/office/drawing/2014/chart" uri="{C3380CC4-5D6E-409C-BE32-E72D297353CC}">
              <c16:uniqueId val="{00000002-4B17-D548-8507-A08922871741}"/>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毛利率</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图9　人形机器人销量与平均单价（销量性质A；单价性质E）</a:t>
            </a:r>
          </a:p>
        </c:rich>
      </c:tx>
      <c:overlay val="1"/>
    </c:title>
    <c:autoTitleDeleted val="0"/>
    <c:plotArea>
      <c:layout/>
      <c:barChart>
        <c:barDir val="col"/>
        <c:grouping val="clustered"/>
        <c:varyColors val="1"/>
        <c:ser>
          <c:idx val="0"/>
          <c:order val="0"/>
          <c:tx>
            <c:strRef>
              <c:f>'08_趋势图表'!$B$29</c:f>
              <c:strCache>
                <c:ptCount val="1"/>
                <c:pt idx="0">
                  <c:v>人形机器人销量(台)</c:v>
                </c:pt>
              </c:strCache>
            </c:strRef>
          </c:tx>
          <c:spPr>
            <a:ln>
              <a:prstDash val="solid"/>
            </a:ln>
          </c:spPr>
          <c:invertIfNegative val="1"/>
          <c:cat>
            <c:strRef>
              <c:f>'08_趋势图表'!$A$30:$A$32</c:f>
              <c:strCache>
                <c:ptCount val="3"/>
                <c:pt idx="0">
                  <c:v>2023年</c:v>
                </c:pt>
                <c:pt idx="1">
                  <c:v>2024年</c:v>
                </c:pt>
                <c:pt idx="2">
                  <c:v>2025年</c:v>
                </c:pt>
              </c:strCache>
            </c:strRef>
          </c:cat>
          <c:val>
            <c:numRef>
              <c:f>'08_趋势图表'!$B$30:$B$32</c:f>
              <c:numCache>
                <c:formatCode>#,##0</c:formatCode>
                <c:ptCount val="3"/>
                <c:pt idx="0">
                  <c:v>5</c:v>
                </c:pt>
                <c:pt idx="1">
                  <c:v>412</c:v>
                </c:pt>
                <c:pt idx="2">
                  <c:v>5215</c:v>
                </c:pt>
              </c:numCache>
            </c:numRef>
          </c:val>
          <c:extLst>
            <c:ext xmlns:c16="http://schemas.microsoft.com/office/drawing/2014/chart" uri="{C3380CC4-5D6E-409C-BE32-E72D297353CC}">
              <c16:uniqueId val="{00000000-C53B-5741-A73B-A201A3A6990F}"/>
            </c:ext>
          </c:extLst>
        </c:ser>
        <c:dLbls>
          <c:showLegendKey val="0"/>
          <c:showVal val="0"/>
          <c:showCatName val="0"/>
          <c:showSerName val="0"/>
          <c:showPercent val="0"/>
          <c:showBubbleSize val="0"/>
        </c:dLbls>
        <c:gapWidth val="150"/>
        <c:axId val="10"/>
        <c:axId val="100"/>
      </c:barChart>
      <c:lineChart>
        <c:grouping val="standard"/>
        <c:varyColors val="1"/>
        <c:ser>
          <c:idx val="1"/>
          <c:order val="1"/>
          <c:tx>
            <c:strRef>
              <c:f>'08_趋势图表'!$C$29</c:f>
              <c:strCache>
                <c:ptCount val="1"/>
                <c:pt idx="0">
                  <c:v>人形机器人单价(万元/台)</c:v>
                </c:pt>
              </c:strCache>
            </c:strRef>
          </c:tx>
          <c:spPr>
            <a:ln>
              <a:prstDash val="solid"/>
            </a:ln>
          </c:spPr>
          <c:marker>
            <c:symbol val="none"/>
          </c:marker>
          <c:val>
            <c:numRef>
              <c:f>'08_趋势图表'!$C$30:$C$32</c:f>
              <c:numCache>
                <c:formatCode>#,##0.00</c:formatCode>
                <c:ptCount val="3"/>
                <c:pt idx="0">
                  <c:v>59.341999999999999</c:v>
                </c:pt>
                <c:pt idx="1">
                  <c:v>26.043106796116504</c:v>
                </c:pt>
                <c:pt idx="2">
                  <c:v>16.641071907957816</c:v>
                </c:pt>
              </c:numCache>
            </c:numRef>
          </c:val>
          <c:smooth val="1"/>
          <c:extLst>
            <c:ext xmlns:c16="http://schemas.microsoft.com/office/drawing/2014/chart" uri="{C3380CC4-5D6E-409C-BE32-E72D297353CC}">
              <c16:uniqueId val="{00000001-C53B-5741-A73B-A201A3A6990F}"/>
            </c:ext>
          </c:extLst>
        </c:ser>
        <c:dLbls>
          <c:showLegendKey val="0"/>
          <c:showVal val="0"/>
          <c:showCatName val="0"/>
          <c:showSerName val="0"/>
          <c:showPercent val="0"/>
          <c:showBubbleSize val="0"/>
        </c:dLbls>
        <c:marker val="1"/>
        <c:smooth val="0"/>
        <c:axId val="10"/>
        <c:axId val="2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销量（台）</a:t>
                </a:r>
              </a:p>
            </c:rich>
          </c:tx>
          <c:overlay val="1"/>
        </c:title>
        <c:numFmt formatCode="#,##0" sourceLinked="1"/>
        <c:majorTickMark val="none"/>
        <c:minorTickMark val="none"/>
        <c:tickLblPos val="nextTo"/>
        <c:crossAx val="10"/>
        <c:crosses val="autoZero"/>
        <c:crossBetween val="between"/>
      </c:valAx>
      <c:valAx>
        <c:axId val="200"/>
        <c:scaling>
          <c:orientation val="minMax"/>
        </c:scaling>
        <c:delete val="1"/>
        <c:axPos val="l"/>
        <c:majorGridlines/>
        <c:title>
          <c:tx>
            <c:rich>
              <a:bodyPr/>
              <a:lstStyle/>
              <a:p>
                <a:pPr>
                  <a:defRPr/>
                </a:pPr>
                <a:r>
                  <a:t>平均单价（万元/台）</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图10　四足机器人销量与平均单价（销量性质A；单价性质E）</a:t>
            </a:r>
          </a:p>
        </c:rich>
      </c:tx>
      <c:overlay val="1"/>
    </c:title>
    <c:autoTitleDeleted val="0"/>
    <c:plotArea>
      <c:layout/>
      <c:barChart>
        <c:barDir val="col"/>
        <c:grouping val="clustered"/>
        <c:varyColors val="1"/>
        <c:ser>
          <c:idx val="0"/>
          <c:order val="0"/>
          <c:tx>
            <c:strRef>
              <c:f>'08_趋势图表'!$D$29</c:f>
              <c:strCache>
                <c:ptCount val="1"/>
                <c:pt idx="0">
                  <c:v>四足机器人销量(台)</c:v>
                </c:pt>
              </c:strCache>
            </c:strRef>
          </c:tx>
          <c:spPr>
            <a:ln>
              <a:prstDash val="solid"/>
            </a:ln>
          </c:spPr>
          <c:invertIfNegative val="1"/>
          <c:cat>
            <c:strRef>
              <c:f>'08_趋势图表'!$A$30:$A$32</c:f>
              <c:strCache>
                <c:ptCount val="3"/>
                <c:pt idx="0">
                  <c:v>2023年</c:v>
                </c:pt>
                <c:pt idx="1">
                  <c:v>2024年</c:v>
                </c:pt>
                <c:pt idx="2">
                  <c:v>2025年</c:v>
                </c:pt>
              </c:strCache>
            </c:strRef>
          </c:cat>
          <c:val>
            <c:numRef>
              <c:f>'08_趋势图表'!$D$30:$D$32</c:f>
              <c:numCache>
                <c:formatCode>#,##0</c:formatCode>
                <c:ptCount val="3"/>
                <c:pt idx="0">
                  <c:v>3121</c:v>
                </c:pt>
                <c:pt idx="1">
                  <c:v>7136</c:v>
                </c:pt>
                <c:pt idx="2">
                  <c:v>23037</c:v>
                </c:pt>
              </c:numCache>
            </c:numRef>
          </c:val>
          <c:extLst>
            <c:ext xmlns:c16="http://schemas.microsoft.com/office/drawing/2014/chart" uri="{C3380CC4-5D6E-409C-BE32-E72D297353CC}">
              <c16:uniqueId val="{00000000-E356-5A47-8206-5A79709A2248}"/>
            </c:ext>
          </c:extLst>
        </c:ser>
        <c:dLbls>
          <c:showLegendKey val="0"/>
          <c:showVal val="0"/>
          <c:showCatName val="0"/>
          <c:showSerName val="0"/>
          <c:showPercent val="0"/>
          <c:showBubbleSize val="0"/>
        </c:dLbls>
        <c:gapWidth val="150"/>
        <c:axId val="10"/>
        <c:axId val="100"/>
      </c:barChart>
      <c:lineChart>
        <c:grouping val="standard"/>
        <c:varyColors val="1"/>
        <c:ser>
          <c:idx val="1"/>
          <c:order val="1"/>
          <c:tx>
            <c:strRef>
              <c:f>'08_趋势图表'!$E$29</c:f>
              <c:strCache>
                <c:ptCount val="1"/>
                <c:pt idx="0">
                  <c:v>四足机器人单价(万元/台)</c:v>
                </c:pt>
              </c:strCache>
            </c:strRef>
          </c:tx>
          <c:spPr>
            <a:ln>
              <a:prstDash val="solid"/>
            </a:ln>
          </c:spPr>
          <c:marker>
            <c:symbol val="none"/>
          </c:marker>
          <c:val>
            <c:numRef>
              <c:f>'08_趋势图表'!$E$30:$E$32</c:f>
              <c:numCache>
                <c:formatCode>#,##0.00</c:formatCode>
                <c:ptCount val="3"/>
                <c:pt idx="0">
                  <c:v>3.8250849086831145</c:v>
                </c:pt>
                <c:pt idx="1">
                  <c:v>3.2307132847533633</c:v>
                </c:pt>
                <c:pt idx="2">
                  <c:v>3.0282831965967789</c:v>
                </c:pt>
              </c:numCache>
            </c:numRef>
          </c:val>
          <c:smooth val="1"/>
          <c:extLst>
            <c:ext xmlns:c16="http://schemas.microsoft.com/office/drawing/2014/chart" uri="{C3380CC4-5D6E-409C-BE32-E72D297353CC}">
              <c16:uniqueId val="{00000001-E356-5A47-8206-5A79709A2248}"/>
            </c:ext>
          </c:extLst>
        </c:ser>
        <c:dLbls>
          <c:showLegendKey val="0"/>
          <c:showVal val="0"/>
          <c:showCatName val="0"/>
          <c:showSerName val="0"/>
          <c:showPercent val="0"/>
          <c:showBubbleSize val="0"/>
        </c:dLbls>
        <c:marker val="1"/>
        <c:smooth val="0"/>
        <c:axId val="10"/>
        <c:axId val="2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销量（台）</a:t>
                </a:r>
              </a:p>
            </c:rich>
          </c:tx>
          <c:overlay val="1"/>
        </c:title>
        <c:numFmt formatCode="#,##0" sourceLinked="1"/>
        <c:majorTickMark val="none"/>
        <c:minorTickMark val="none"/>
        <c:tickLblPos val="nextTo"/>
        <c:crossAx val="10"/>
        <c:crosses val="autoZero"/>
        <c:crossBetween val="between"/>
      </c:valAx>
      <c:valAx>
        <c:axId val="200"/>
        <c:scaling>
          <c:orientation val="minMax"/>
        </c:scaling>
        <c:delete val="1"/>
        <c:axPos val="l"/>
        <c:majorGridlines/>
        <c:title>
          <c:tx>
            <c:rich>
              <a:bodyPr/>
              <a:lstStyle/>
              <a:p>
                <a:pPr>
                  <a:defRPr/>
                </a:pPr>
                <a:r>
                  <a:t>平均单价（万元/台）</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图11　主营业务收入境内外结构（堆积，万元，性质A）</a:t>
            </a:r>
          </a:p>
        </c:rich>
      </c:tx>
      <c:overlay val="1"/>
    </c:title>
    <c:autoTitleDeleted val="0"/>
    <c:plotArea>
      <c:layout/>
      <c:barChart>
        <c:barDir val="col"/>
        <c:grouping val="stacked"/>
        <c:varyColors val="1"/>
        <c:ser>
          <c:idx val="0"/>
          <c:order val="0"/>
          <c:tx>
            <c:strRef>
              <c:f>'08_趋势图表'!$B$36</c:f>
              <c:strCache>
                <c:ptCount val="1"/>
                <c:pt idx="0">
                  <c:v>境内销售</c:v>
                </c:pt>
              </c:strCache>
            </c:strRef>
          </c:tx>
          <c:spPr>
            <a:ln>
              <a:prstDash val="solid"/>
            </a:ln>
          </c:spPr>
          <c:invertIfNegative val="1"/>
          <c:cat>
            <c:strRef>
              <c:f>'08_趋势图表'!$A$37:$A$39</c:f>
              <c:strCache>
                <c:ptCount val="3"/>
                <c:pt idx="0">
                  <c:v>2023年</c:v>
                </c:pt>
                <c:pt idx="1">
                  <c:v>2024年</c:v>
                </c:pt>
                <c:pt idx="2">
                  <c:v>2025年</c:v>
                </c:pt>
              </c:strCache>
            </c:strRef>
          </c:cat>
          <c:val>
            <c:numRef>
              <c:f>'08_趋势图表'!$B$37:$B$39</c:f>
              <c:numCache>
                <c:formatCode>#,##0.00</c:formatCode>
                <c:ptCount val="3"/>
                <c:pt idx="0">
                  <c:v>6989.41</c:v>
                </c:pt>
                <c:pt idx="1">
                  <c:v>17156.55</c:v>
                </c:pt>
                <c:pt idx="2">
                  <c:v>94445.56</c:v>
                </c:pt>
              </c:numCache>
            </c:numRef>
          </c:val>
          <c:extLst>
            <c:ext xmlns:c16="http://schemas.microsoft.com/office/drawing/2014/chart" uri="{C3380CC4-5D6E-409C-BE32-E72D297353CC}">
              <c16:uniqueId val="{00000000-ADDD-3249-BDE1-3EFDBB8FC6FB}"/>
            </c:ext>
          </c:extLst>
        </c:ser>
        <c:ser>
          <c:idx val="1"/>
          <c:order val="1"/>
          <c:tx>
            <c:strRef>
              <c:f>'08_趋势图表'!$C$36</c:f>
              <c:strCache>
                <c:ptCount val="1"/>
                <c:pt idx="0">
                  <c:v>境外销售</c:v>
                </c:pt>
              </c:strCache>
            </c:strRef>
          </c:tx>
          <c:spPr>
            <a:ln>
              <a:prstDash val="solid"/>
            </a:ln>
          </c:spPr>
          <c:invertIfNegative val="1"/>
          <c:cat>
            <c:strRef>
              <c:f>'08_趋势图表'!$A$37:$A$39</c:f>
              <c:strCache>
                <c:ptCount val="3"/>
                <c:pt idx="0">
                  <c:v>2023年</c:v>
                </c:pt>
                <c:pt idx="1">
                  <c:v>2024年</c:v>
                </c:pt>
                <c:pt idx="2">
                  <c:v>2025年</c:v>
                </c:pt>
              </c:strCache>
            </c:strRef>
          </c:cat>
          <c:val>
            <c:numRef>
              <c:f>'08_趋势图表'!$C$37:$C$39</c:f>
              <c:numCache>
                <c:formatCode>#,##0.00</c:formatCode>
                <c:ptCount val="3"/>
                <c:pt idx="0">
                  <c:v>8764.24</c:v>
                </c:pt>
                <c:pt idx="1">
                  <c:v>21610.74</c:v>
                </c:pt>
                <c:pt idx="2">
                  <c:v>73165.53</c:v>
                </c:pt>
              </c:numCache>
            </c:numRef>
          </c:val>
          <c:extLst>
            <c:ext xmlns:c16="http://schemas.microsoft.com/office/drawing/2014/chart" uri="{C3380CC4-5D6E-409C-BE32-E72D297353CC}">
              <c16:uniqueId val="{00000001-ADDD-3249-BDE1-3EFDBB8FC6FB}"/>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主营业务收入（万元）</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图12　主营业务收入季度分布（万元，性质A）</a:t>
            </a:r>
          </a:p>
        </c:rich>
      </c:tx>
      <c:overlay val="1"/>
    </c:title>
    <c:autoTitleDeleted val="0"/>
    <c:plotArea>
      <c:layout/>
      <c:barChart>
        <c:barDir val="col"/>
        <c:grouping val="clustered"/>
        <c:varyColors val="1"/>
        <c:ser>
          <c:idx val="0"/>
          <c:order val="0"/>
          <c:tx>
            <c:strRef>
              <c:f>'08_趋势图表'!$B$42</c:f>
              <c:strCache>
                <c:ptCount val="1"/>
                <c:pt idx="0">
                  <c:v>2023收入</c:v>
                </c:pt>
              </c:strCache>
            </c:strRef>
          </c:tx>
          <c:spPr>
            <a:ln>
              <a:prstDash val="solid"/>
            </a:ln>
          </c:spPr>
          <c:invertIfNegative val="1"/>
          <c:cat>
            <c:strRef>
              <c:f>'08_趋势图表'!$A$43:$A$46</c:f>
              <c:strCache>
                <c:ptCount val="4"/>
                <c:pt idx="0">
                  <c:v>第一季度</c:v>
                </c:pt>
                <c:pt idx="1">
                  <c:v>第二季度</c:v>
                </c:pt>
                <c:pt idx="2">
                  <c:v>第三季度</c:v>
                </c:pt>
                <c:pt idx="3">
                  <c:v>第四季度</c:v>
                </c:pt>
              </c:strCache>
            </c:strRef>
          </c:cat>
          <c:val>
            <c:numRef>
              <c:f>'08_趋势图表'!$B$43:$B$46</c:f>
              <c:numCache>
                <c:formatCode>#,##0.00</c:formatCode>
                <c:ptCount val="4"/>
                <c:pt idx="0">
                  <c:v>3093.17</c:v>
                </c:pt>
                <c:pt idx="1">
                  <c:v>4143.92</c:v>
                </c:pt>
                <c:pt idx="2">
                  <c:v>3222.43</c:v>
                </c:pt>
                <c:pt idx="3">
                  <c:v>5294.13</c:v>
                </c:pt>
              </c:numCache>
            </c:numRef>
          </c:val>
          <c:extLst>
            <c:ext xmlns:c16="http://schemas.microsoft.com/office/drawing/2014/chart" uri="{C3380CC4-5D6E-409C-BE32-E72D297353CC}">
              <c16:uniqueId val="{00000000-21AA-DD4C-B1B4-587F3945A1EE}"/>
            </c:ext>
          </c:extLst>
        </c:ser>
        <c:ser>
          <c:idx val="1"/>
          <c:order val="1"/>
          <c:tx>
            <c:strRef>
              <c:f>'08_趋势图表'!$C$42</c:f>
              <c:strCache>
                <c:ptCount val="1"/>
                <c:pt idx="0">
                  <c:v>2024收入</c:v>
                </c:pt>
              </c:strCache>
            </c:strRef>
          </c:tx>
          <c:spPr>
            <a:ln>
              <a:prstDash val="solid"/>
            </a:ln>
          </c:spPr>
          <c:invertIfNegative val="1"/>
          <c:cat>
            <c:strRef>
              <c:f>'08_趋势图表'!$A$43:$A$46</c:f>
              <c:strCache>
                <c:ptCount val="4"/>
                <c:pt idx="0">
                  <c:v>第一季度</c:v>
                </c:pt>
                <c:pt idx="1">
                  <c:v>第二季度</c:v>
                </c:pt>
                <c:pt idx="2">
                  <c:v>第三季度</c:v>
                </c:pt>
                <c:pt idx="3">
                  <c:v>第四季度</c:v>
                </c:pt>
              </c:strCache>
            </c:strRef>
          </c:cat>
          <c:val>
            <c:numRef>
              <c:f>'08_趋势图表'!$C$43:$C$46</c:f>
              <c:numCache>
                <c:formatCode>#,##0.00</c:formatCode>
                <c:ptCount val="4"/>
                <c:pt idx="0">
                  <c:v>6510.98</c:v>
                </c:pt>
                <c:pt idx="1">
                  <c:v>6707.3</c:v>
                </c:pt>
                <c:pt idx="2">
                  <c:v>9765.44</c:v>
                </c:pt>
                <c:pt idx="3">
                  <c:v>15783.55</c:v>
                </c:pt>
              </c:numCache>
            </c:numRef>
          </c:val>
          <c:extLst>
            <c:ext xmlns:c16="http://schemas.microsoft.com/office/drawing/2014/chart" uri="{C3380CC4-5D6E-409C-BE32-E72D297353CC}">
              <c16:uniqueId val="{00000001-21AA-DD4C-B1B4-587F3945A1EE}"/>
            </c:ext>
          </c:extLst>
        </c:ser>
        <c:ser>
          <c:idx val="2"/>
          <c:order val="2"/>
          <c:tx>
            <c:strRef>
              <c:f>'08_趋势图表'!$D$42</c:f>
              <c:strCache>
                <c:ptCount val="1"/>
                <c:pt idx="0">
                  <c:v>2025收入</c:v>
                </c:pt>
              </c:strCache>
            </c:strRef>
          </c:tx>
          <c:spPr>
            <a:ln>
              <a:prstDash val="solid"/>
            </a:ln>
          </c:spPr>
          <c:invertIfNegative val="1"/>
          <c:cat>
            <c:strRef>
              <c:f>'08_趋势图表'!$A$43:$A$46</c:f>
              <c:strCache>
                <c:ptCount val="4"/>
                <c:pt idx="0">
                  <c:v>第一季度</c:v>
                </c:pt>
                <c:pt idx="1">
                  <c:v>第二季度</c:v>
                </c:pt>
                <c:pt idx="2">
                  <c:v>第三季度</c:v>
                </c:pt>
                <c:pt idx="3">
                  <c:v>第四季度</c:v>
                </c:pt>
              </c:strCache>
            </c:strRef>
          </c:cat>
          <c:val>
            <c:numRef>
              <c:f>'08_趋势图表'!$D$43:$D$46</c:f>
              <c:numCache>
                <c:formatCode>#,##0.00</c:formatCode>
                <c:ptCount val="4"/>
                <c:pt idx="0">
                  <c:v>24815.919999999998</c:v>
                </c:pt>
                <c:pt idx="1">
                  <c:v>52095.34</c:v>
                </c:pt>
                <c:pt idx="2">
                  <c:v>38543.68</c:v>
                </c:pt>
                <c:pt idx="3">
                  <c:v>52156.15</c:v>
                </c:pt>
              </c:numCache>
            </c:numRef>
          </c:val>
          <c:extLst>
            <c:ext xmlns:c16="http://schemas.microsoft.com/office/drawing/2014/chart" uri="{C3380CC4-5D6E-409C-BE32-E72D297353CC}">
              <c16:uniqueId val="{00000002-21AA-DD4C-B1B4-587F3945A1E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主营业务收入（万元）</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图13　研发费用与研发投入占营收比例（性质A）</a:t>
            </a:r>
          </a:p>
        </c:rich>
      </c:tx>
      <c:overlay val="1"/>
    </c:title>
    <c:autoTitleDeleted val="0"/>
    <c:plotArea>
      <c:layout/>
      <c:barChart>
        <c:barDir val="col"/>
        <c:grouping val="clustered"/>
        <c:varyColors val="1"/>
        <c:ser>
          <c:idx val="0"/>
          <c:order val="0"/>
          <c:tx>
            <c:strRef>
              <c:f>'08_趋势图表'!$B$49</c:f>
              <c:strCache>
                <c:ptCount val="1"/>
                <c:pt idx="0">
                  <c:v>研发费用</c:v>
                </c:pt>
              </c:strCache>
            </c:strRef>
          </c:tx>
          <c:spPr>
            <a:ln>
              <a:prstDash val="solid"/>
            </a:ln>
          </c:spPr>
          <c:invertIfNegative val="1"/>
          <c:cat>
            <c:strRef>
              <c:f>'08_趋势图表'!$A$50:$A$52</c:f>
              <c:strCache>
                <c:ptCount val="3"/>
                <c:pt idx="0">
                  <c:v>2023年度</c:v>
                </c:pt>
                <c:pt idx="1">
                  <c:v>2024年度</c:v>
                </c:pt>
                <c:pt idx="2">
                  <c:v>2025年度</c:v>
                </c:pt>
              </c:strCache>
            </c:strRef>
          </c:cat>
          <c:val>
            <c:numRef>
              <c:f>'08_趋势图表'!$B$50:$B$52</c:f>
              <c:numCache>
                <c:formatCode>#,##0.00</c:formatCode>
                <c:ptCount val="3"/>
                <c:pt idx="0">
                  <c:v>4995.18</c:v>
                </c:pt>
                <c:pt idx="1">
                  <c:v>7001.7</c:v>
                </c:pt>
                <c:pt idx="2">
                  <c:v>14496.56</c:v>
                </c:pt>
              </c:numCache>
            </c:numRef>
          </c:val>
          <c:extLst>
            <c:ext xmlns:c16="http://schemas.microsoft.com/office/drawing/2014/chart" uri="{C3380CC4-5D6E-409C-BE32-E72D297353CC}">
              <c16:uniqueId val="{00000000-03E7-484B-AFD0-68D89D34C383}"/>
            </c:ext>
          </c:extLst>
        </c:ser>
        <c:dLbls>
          <c:showLegendKey val="0"/>
          <c:showVal val="0"/>
          <c:showCatName val="0"/>
          <c:showSerName val="0"/>
          <c:showPercent val="0"/>
          <c:showBubbleSize val="0"/>
        </c:dLbls>
        <c:gapWidth val="150"/>
        <c:axId val="10"/>
        <c:axId val="100"/>
      </c:barChart>
      <c:lineChart>
        <c:grouping val="standard"/>
        <c:varyColors val="1"/>
        <c:ser>
          <c:idx val="1"/>
          <c:order val="1"/>
          <c:tx>
            <c:strRef>
              <c:f>'08_趋势图表'!$C$49</c:f>
              <c:strCache>
                <c:ptCount val="1"/>
                <c:pt idx="0">
                  <c:v>研发投入占营收比例</c:v>
                </c:pt>
              </c:strCache>
            </c:strRef>
          </c:tx>
          <c:spPr>
            <a:ln>
              <a:prstDash val="solid"/>
            </a:ln>
          </c:spPr>
          <c:marker>
            <c:symbol val="none"/>
          </c:marker>
          <c:val>
            <c:numRef>
              <c:f>'08_趋势图表'!$C$50:$C$52</c:f>
              <c:numCache>
                <c:formatCode>0.00%</c:formatCode>
                <c:ptCount val="3"/>
                <c:pt idx="0">
                  <c:v>0.31390000000000001</c:v>
                </c:pt>
                <c:pt idx="1">
                  <c:v>0.17829999999999999</c:v>
                </c:pt>
                <c:pt idx="2">
                  <c:v>8.5300000000000001E-2</c:v>
                </c:pt>
              </c:numCache>
            </c:numRef>
          </c:val>
          <c:smooth val="1"/>
          <c:extLst>
            <c:ext xmlns:c16="http://schemas.microsoft.com/office/drawing/2014/chart" uri="{C3380CC4-5D6E-409C-BE32-E72D297353CC}">
              <c16:uniqueId val="{00000001-03E7-484B-AFD0-68D89D34C383}"/>
            </c:ext>
          </c:extLst>
        </c:ser>
        <c:dLbls>
          <c:showLegendKey val="0"/>
          <c:showVal val="0"/>
          <c:showCatName val="0"/>
          <c:showSerName val="0"/>
          <c:showPercent val="0"/>
          <c:showBubbleSize val="0"/>
        </c:dLbls>
        <c:marker val="1"/>
        <c:smooth val="0"/>
        <c:axId val="10"/>
        <c:axId val="2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研发费用（万元）</a:t>
                </a:r>
              </a:p>
            </c:rich>
          </c:tx>
          <c:overlay val="1"/>
        </c:title>
        <c:numFmt formatCode="#,##0.00" sourceLinked="1"/>
        <c:majorTickMark val="none"/>
        <c:minorTickMark val="none"/>
        <c:tickLblPos val="nextTo"/>
        <c:crossAx val="10"/>
        <c:crosses val="autoZero"/>
        <c:crossBetween val="between"/>
      </c:valAx>
      <c:valAx>
        <c:axId val="200"/>
        <c:scaling>
          <c:orientation val="minMax"/>
        </c:scaling>
        <c:delete val="1"/>
        <c:axPos val="l"/>
        <c:majorGridlines/>
        <c:title>
          <c:tx>
            <c:rich>
              <a:bodyPr/>
              <a:lstStyle/>
              <a:p>
                <a:pPr>
                  <a:defRPr/>
                </a:pPr>
                <a:r>
                  <a:t>研发投入占营收比例</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图14　同行业可比公司营业收入对比（万元，性质A）</a:t>
            </a:r>
          </a:p>
        </c:rich>
      </c:tx>
      <c:overlay val="1"/>
    </c:title>
    <c:autoTitleDeleted val="0"/>
    <c:plotArea>
      <c:layout/>
      <c:barChart>
        <c:barDir val="col"/>
        <c:grouping val="clustered"/>
        <c:varyColors val="1"/>
        <c:ser>
          <c:idx val="0"/>
          <c:order val="0"/>
          <c:tx>
            <c:strRef>
              <c:f>'08_趋势图表'!$B$55</c:f>
              <c:strCache>
                <c:ptCount val="1"/>
                <c:pt idx="0">
                  <c:v>2023营收</c:v>
                </c:pt>
              </c:strCache>
            </c:strRef>
          </c:tx>
          <c:spPr>
            <a:ln>
              <a:prstDash val="solid"/>
            </a:ln>
          </c:spPr>
          <c:invertIfNegative val="1"/>
          <c:cat>
            <c:strRef>
              <c:f>'08_趋势图表'!$A$56:$A$61</c:f>
              <c:strCache>
                <c:ptCount val="6"/>
                <c:pt idx="0">
                  <c:v>优必选</c:v>
                </c:pt>
                <c:pt idx="1">
                  <c:v>越疆</c:v>
                </c:pt>
                <c:pt idx="2">
                  <c:v>云深处</c:v>
                </c:pt>
                <c:pt idx="3">
                  <c:v>乐聚智能</c:v>
                </c:pt>
                <c:pt idx="4">
                  <c:v>可比公司平均值</c:v>
                </c:pt>
                <c:pt idx="5">
                  <c:v>宇树科技</c:v>
                </c:pt>
              </c:strCache>
            </c:strRef>
          </c:cat>
          <c:val>
            <c:numRef>
              <c:f>'08_趋势图表'!$B$56:$B$61</c:f>
              <c:numCache>
                <c:formatCode>#,##0.00</c:formatCode>
                <c:ptCount val="6"/>
                <c:pt idx="0">
                  <c:v>105569.8</c:v>
                </c:pt>
                <c:pt idx="1">
                  <c:v>28699.17</c:v>
                </c:pt>
                <c:pt idx="2">
                  <c:v>5011.26</c:v>
                </c:pt>
                <c:pt idx="3">
                  <c:v>5398.83</c:v>
                </c:pt>
                <c:pt idx="4">
                  <c:v>36169.769999999997</c:v>
                </c:pt>
                <c:pt idx="5">
                  <c:v>15913.44</c:v>
                </c:pt>
              </c:numCache>
            </c:numRef>
          </c:val>
          <c:extLst>
            <c:ext xmlns:c16="http://schemas.microsoft.com/office/drawing/2014/chart" uri="{C3380CC4-5D6E-409C-BE32-E72D297353CC}">
              <c16:uniqueId val="{00000000-7BAA-2E4D-BDCC-43ECF3975717}"/>
            </c:ext>
          </c:extLst>
        </c:ser>
        <c:ser>
          <c:idx val="1"/>
          <c:order val="1"/>
          <c:tx>
            <c:strRef>
              <c:f>'08_趋势图表'!$C$55</c:f>
              <c:strCache>
                <c:ptCount val="1"/>
                <c:pt idx="0">
                  <c:v>2024营收</c:v>
                </c:pt>
              </c:strCache>
            </c:strRef>
          </c:tx>
          <c:spPr>
            <a:ln>
              <a:prstDash val="solid"/>
            </a:ln>
          </c:spPr>
          <c:invertIfNegative val="1"/>
          <c:cat>
            <c:strRef>
              <c:f>'08_趋势图表'!$A$56:$A$61</c:f>
              <c:strCache>
                <c:ptCount val="6"/>
                <c:pt idx="0">
                  <c:v>优必选</c:v>
                </c:pt>
                <c:pt idx="1">
                  <c:v>越疆</c:v>
                </c:pt>
                <c:pt idx="2">
                  <c:v>云深处</c:v>
                </c:pt>
                <c:pt idx="3">
                  <c:v>乐聚智能</c:v>
                </c:pt>
                <c:pt idx="4">
                  <c:v>可比公司平均值</c:v>
                </c:pt>
                <c:pt idx="5">
                  <c:v>宇树科技</c:v>
                </c:pt>
              </c:strCache>
            </c:strRef>
          </c:cat>
          <c:val>
            <c:numRef>
              <c:f>'08_趋势图表'!$C$56:$C$61</c:f>
              <c:numCache>
                <c:formatCode>#,##0.00</c:formatCode>
                <c:ptCount val="6"/>
                <c:pt idx="0">
                  <c:v>130536.1</c:v>
                </c:pt>
                <c:pt idx="1">
                  <c:v>37483.06</c:v>
                </c:pt>
                <c:pt idx="2">
                  <c:v>10320.1</c:v>
                </c:pt>
                <c:pt idx="3">
                  <c:v>5550.03</c:v>
                </c:pt>
                <c:pt idx="4">
                  <c:v>45972.32</c:v>
                </c:pt>
                <c:pt idx="5">
                  <c:v>39277.07</c:v>
                </c:pt>
              </c:numCache>
            </c:numRef>
          </c:val>
          <c:extLst>
            <c:ext xmlns:c16="http://schemas.microsoft.com/office/drawing/2014/chart" uri="{C3380CC4-5D6E-409C-BE32-E72D297353CC}">
              <c16:uniqueId val="{00000001-7BAA-2E4D-BDCC-43ECF3975717}"/>
            </c:ext>
          </c:extLst>
        </c:ser>
        <c:ser>
          <c:idx val="2"/>
          <c:order val="2"/>
          <c:tx>
            <c:strRef>
              <c:f>'08_趋势图表'!$D$55</c:f>
              <c:strCache>
                <c:ptCount val="1"/>
                <c:pt idx="0">
                  <c:v>2025营收</c:v>
                </c:pt>
              </c:strCache>
            </c:strRef>
          </c:tx>
          <c:spPr>
            <a:ln>
              <a:prstDash val="solid"/>
            </a:ln>
          </c:spPr>
          <c:invertIfNegative val="1"/>
          <c:cat>
            <c:strRef>
              <c:f>'08_趋势图表'!$A$56:$A$61</c:f>
              <c:strCache>
                <c:ptCount val="6"/>
                <c:pt idx="0">
                  <c:v>优必选</c:v>
                </c:pt>
                <c:pt idx="1">
                  <c:v>越疆</c:v>
                </c:pt>
                <c:pt idx="2">
                  <c:v>云深处</c:v>
                </c:pt>
                <c:pt idx="3">
                  <c:v>乐聚智能</c:v>
                </c:pt>
                <c:pt idx="4">
                  <c:v>可比公司平均值</c:v>
                </c:pt>
                <c:pt idx="5">
                  <c:v>宇树科技</c:v>
                </c:pt>
              </c:strCache>
            </c:strRef>
          </c:cat>
          <c:val>
            <c:numRef>
              <c:f>'08_趋势图表'!$D$56:$D$61</c:f>
              <c:numCache>
                <c:formatCode>#,##0.00</c:formatCode>
                <c:ptCount val="6"/>
                <c:pt idx="0">
                  <c:v>200099.9</c:v>
                </c:pt>
                <c:pt idx="1">
                  <c:v>49348.3</c:v>
                </c:pt>
                <c:pt idx="2">
                  <c:v>33749.06</c:v>
                </c:pt>
                <c:pt idx="3">
                  <c:v>25818.79</c:v>
                </c:pt>
                <c:pt idx="4">
                  <c:v>77254.009999999995</c:v>
                </c:pt>
                <c:pt idx="5">
                  <c:v>169926.93</c:v>
                </c:pt>
              </c:numCache>
            </c:numRef>
          </c:val>
          <c:extLst>
            <c:ext xmlns:c16="http://schemas.microsoft.com/office/drawing/2014/chart" uri="{C3380CC4-5D6E-409C-BE32-E72D297353CC}">
              <c16:uniqueId val="{00000002-7BAA-2E4D-BDCC-43ECF397571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营业收入（万元）</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2"/>
  <c:chart>
    <c:title>
      <c:tx>
        <c:rich>
          <a:bodyPr/>
          <a:lstStyle/>
          <a:p>
            <a:pPr>
              <a:defRPr/>
            </a:pPr>
            <a:r>
              <a:t>图15　同行业可比公司综合毛利率对比（性质A）</a:t>
            </a:r>
          </a:p>
        </c:rich>
      </c:tx>
      <c:overlay val="1"/>
    </c:title>
    <c:autoTitleDeleted val="0"/>
    <c:plotArea>
      <c:layout/>
      <c:lineChart>
        <c:grouping val="standard"/>
        <c:varyColors val="1"/>
        <c:ser>
          <c:idx val="0"/>
          <c:order val="0"/>
          <c:tx>
            <c:strRef>
              <c:f>'08_趋势图表'!$E$55</c:f>
              <c:strCache>
                <c:ptCount val="1"/>
                <c:pt idx="0">
                  <c:v>2023毛利率</c:v>
                </c:pt>
              </c:strCache>
            </c:strRef>
          </c:tx>
          <c:spPr>
            <a:ln>
              <a:prstDash val="solid"/>
            </a:ln>
          </c:spPr>
          <c:marker>
            <c:symbol val="none"/>
          </c:marker>
          <c:cat>
            <c:strRef>
              <c:f>'08_趋势图表'!$A$56:$A$61</c:f>
              <c:strCache>
                <c:ptCount val="6"/>
                <c:pt idx="0">
                  <c:v>优必选</c:v>
                </c:pt>
                <c:pt idx="1">
                  <c:v>越疆</c:v>
                </c:pt>
                <c:pt idx="2">
                  <c:v>云深处</c:v>
                </c:pt>
                <c:pt idx="3">
                  <c:v>乐聚智能</c:v>
                </c:pt>
                <c:pt idx="4">
                  <c:v>可比公司平均值</c:v>
                </c:pt>
                <c:pt idx="5">
                  <c:v>宇树科技</c:v>
                </c:pt>
              </c:strCache>
            </c:strRef>
          </c:cat>
          <c:val>
            <c:numRef>
              <c:f>'08_趋势图表'!$E$56:$E$61</c:f>
              <c:numCache>
                <c:formatCode>0.00%</c:formatCode>
                <c:ptCount val="6"/>
                <c:pt idx="0">
                  <c:v>0.31530000000000002</c:v>
                </c:pt>
                <c:pt idx="1">
                  <c:v>0.48470000000000002</c:v>
                </c:pt>
                <c:pt idx="2">
                  <c:v>0.33479999999999999</c:v>
                </c:pt>
                <c:pt idx="3">
                  <c:v>0.50449999999999995</c:v>
                </c:pt>
                <c:pt idx="4">
                  <c:v>0.4098</c:v>
                </c:pt>
                <c:pt idx="5">
                  <c:v>0.44750000000000001</c:v>
                </c:pt>
              </c:numCache>
            </c:numRef>
          </c:val>
          <c:smooth val="1"/>
          <c:extLst>
            <c:ext xmlns:c16="http://schemas.microsoft.com/office/drawing/2014/chart" uri="{C3380CC4-5D6E-409C-BE32-E72D297353CC}">
              <c16:uniqueId val="{00000000-9B29-7B43-8C90-D2A937824391}"/>
            </c:ext>
          </c:extLst>
        </c:ser>
        <c:ser>
          <c:idx val="1"/>
          <c:order val="1"/>
          <c:tx>
            <c:strRef>
              <c:f>'08_趋势图表'!$F$55</c:f>
              <c:strCache>
                <c:ptCount val="1"/>
                <c:pt idx="0">
                  <c:v>2024毛利率</c:v>
                </c:pt>
              </c:strCache>
            </c:strRef>
          </c:tx>
          <c:spPr>
            <a:ln>
              <a:prstDash val="solid"/>
            </a:ln>
          </c:spPr>
          <c:marker>
            <c:symbol val="none"/>
          </c:marker>
          <c:cat>
            <c:strRef>
              <c:f>'08_趋势图表'!$A$56:$A$61</c:f>
              <c:strCache>
                <c:ptCount val="6"/>
                <c:pt idx="0">
                  <c:v>优必选</c:v>
                </c:pt>
                <c:pt idx="1">
                  <c:v>越疆</c:v>
                </c:pt>
                <c:pt idx="2">
                  <c:v>云深处</c:v>
                </c:pt>
                <c:pt idx="3">
                  <c:v>乐聚智能</c:v>
                </c:pt>
                <c:pt idx="4">
                  <c:v>可比公司平均值</c:v>
                </c:pt>
                <c:pt idx="5">
                  <c:v>宇树科技</c:v>
                </c:pt>
              </c:strCache>
            </c:strRef>
          </c:cat>
          <c:val>
            <c:numRef>
              <c:f>'08_趋势图表'!$F$56:$F$61</c:f>
              <c:numCache>
                <c:formatCode>0.00%</c:formatCode>
                <c:ptCount val="6"/>
                <c:pt idx="0">
                  <c:v>0.28649999999999998</c:v>
                </c:pt>
                <c:pt idx="1">
                  <c:v>0.47949999999999998</c:v>
                </c:pt>
                <c:pt idx="2">
                  <c:v>0.3876</c:v>
                </c:pt>
                <c:pt idx="3">
                  <c:v>0.443</c:v>
                </c:pt>
                <c:pt idx="4">
                  <c:v>0.3992</c:v>
                </c:pt>
                <c:pt idx="5">
                  <c:v>0.57220000000000004</c:v>
                </c:pt>
              </c:numCache>
            </c:numRef>
          </c:val>
          <c:smooth val="1"/>
          <c:extLst>
            <c:ext xmlns:c16="http://schemas.microsoft.com/office/drawing/2014/chart" uri="{C3380CC4-5D6E-409C-BE32-E72D297353CC}">
              <c16:uniqueId val="{00000001-9B29-7B43-8C90-D2A937824391}"/>
            </c:ext>
          </c:extLst>
        </c:ser>
        <c:ser>
          <c:idx val="2"/>
          <c:order val="2"/>
          <c:tx>
            <c:strRef>
              <c:f>'08_趋势图表'!$G$55</c:f>
              <c:strCache>
                <c:ptCount val="1"/>
                <c:pt idx="0">
                  <c:v>2025毛利率</c:v>
                </c:pt>
              </c:strCache>
            </c:strRef>
          </c:tx>
          <c:spPr>
            <a:ln>
              <a:prstDash val="solid"/>
            </a:ln>
          </c:spPr>
          <c:marker>
            <c:symbol val="none"/>
          </c:marker>
          <c:cat>
            <c:strRef>
              <c:f>'08_趋势图表'!$A$56:$A$61</c:f>
              <c:strCache>
                <c:ptCount val="6"/>
                <c:pt idx="0">
                  <c:v>优必选</c:v>
                </c:pt>
                <c:pt idx="1">
                  <c:v>越疆</c:v>
                </c:pt>
                <c:pt idx="2">
                  <c:v>云深处</c:v>
                </c:pt>
                <c:pt idx="3">
                  <c:v>乐聚智能</c:v>
                </c:pt>
                <c:pt idx="4">
                  <c:v>可比公司平均值</c:v>
                </c:pt>
                <c:pt idx="5">
                  <c:v>宇树科技</c:v>
                </c:pt>
              </c:strCache>
            </c:strRef>
          </c:cat>
          <c:val>
            <c:numRef>
              <c:f>'08_趋势图表'!$G$56:$G$61</c:f>
              <c:numCache>
                <c:formatCode>0.00%</c:formatCode>
                <c:ptCount val="6"/>
                <c:pt idx="0">
                  <c:v>0.37669999999999998</c:v>
                </c:pt>
                <c:pt idx="1">
                  <c:v>0.46489999999999998</c:v>
                </c:pt>
                <c:pt idx="2">
                  <c:v>0.52829999999999999</c:v>
                </c:pt>
                <c:pt idx="3">
                  <c:v>0.4078</c:v>
                </c:pt>
                <c:pt idx="4">
                  <c:v>0.44440000000000002</c:v>
                </c:pt>
                <c:pt idx="5">
                  <c:v>0.60440000000000005</c:v>
                </c:pt>
              </c:numCache>
            </c:numRef>
          </c:val>
          <c:smooth val="1"/>
          <c:extLst>
            <c:ext xmlns:c16="http://schemas.microsoft.com/office/drawing/2014/chart" uri="{C3380CC4-5D6E-409C-BE32-E72D297353CC}">
              <c16:uniqueId val="{00000002-9B29-7B43-8C90-D2A937824391}"/>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综合毛利率</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2"/>
  <c:chart>
    <c:title>
      <c:tx>
        <c:rich>
          <a:bodyPr/>
          <a:lstStyle/>
          <a:p>
            <a:pPr>
              <a:defRPr/>
            </a:pPr>
            <a:r>
              <a:t>图16　上市后收盘价走势（2026-08-19 至 08-28，性质E，来源S9）</a:t>
            </a:r>
          </a:p>
        </c:rich>
      </c:tx>
      <c:overlay val="1"/>
    </c:title>
    <c:autoTitleDeleted val="0"/>
    <c:plotArea>
      <c:layout/>
      <c:lineChart>
        <c:grouping val="standard"/>
        <c:varyColors val="1"/>
        <c:ser>
          <c:idx val="0"/>
          <c:order val="0"/>
          <c:tx>
            <c:strRef>
              <c:f>'08_趋势图表'!$B$64</c:f>
              <c:strCache>
                <c:ptCount val="1"/>
                <c:pt idx="0">
                  <c:v>收盘价</c:v>
                </c:pt>
              </c:strCache>
            </c:strRef>
          </c:tx>
          <c:spPr>
            <a:ln>
              <a:prstDash val="solid"/>
            </a:ln>
          </c:spPr>
          <c:marker>
            <c:symbol val="none"/>
          </c:marker>
          <c:cat>
            <c:strRef>
              <c:f>'08_趋势图表'!$A$65:$A$72</c:f>
              <c:strCache>
                <c:ptCount val="8"/>
                <c:pt idx="0">
                  <c:v>2026-08-19</c:v>
                </c:pt>
                <c:pt idx="1">
                  <c:v>2026-08-20</c:v>
                </c:pt>
                <c:pt idx="2">
                  <c:v>2026-08-21</c:v>
                </c:pt>
                <c:pt idx="3">
                  <c:v>2026-08-24</c:v>
                </c:pt>
                <c:pt idx="4">
                  <c:v>2026-08-25</c:v>
                </c:pt>
                <c:pt idx="5">
                  <c:v>2026-08-26</c:v>
                </c:pt>
                <c:pt idx="6">
                  <c:v>2026-08-27</c:v>
                </c:pt>
                <c:pt idx="7">
                  <c:v>2026-08-28</c:v>
                </c:pt>
              </c:strCache>
            </c:strRef>
          </c:cat>
          <c:val>
            <c:numRef>
              <c:f>'08_趋势图表'!$B$65:$B$72</c:f>
              <c:numCache>
                <c:formatCode>#,##0.00"元"</c:formatCode>
                <c:ptCount val="8"/>
                <c:pt idx="0">
                  <c:v>845</c:v>
                </c:pt>
                <c:pt idx="1">
                  <c:v>687</c:v>
                </c:pt>
                <c:pt idx="2">
                  <c:v>672.41</c:v>
                </c:pt>
                <c:pt idx="3">
                  <c:v>603.08000000000004</c:v>
                </c:pt>
                <c:pt idx="4">
                  <c:v>602.79999999999995</c:v>
                </c:pt>
                <c:pt idx="5">
                  <c:v>591.53</c:v>
                </c:pt>
                <c:pt idx="6">
                  <c:v>615.03</c:v>
                </c:pt>
                <c:pt idx="7">
                  <c:v>585</c:v>
                </c:pt>
              </c:numCache>
            </c:numRef>
          </c:val>
          <c:smooth val="1"/>
          <c:extLst>
            <c:ext xmlns:c16="http://schemas.microsoft.com/office/drawing/2014/chart" uri="{C3380CC4-5D6E-409C-BE32-E72D297353CC}">
              <c16:uniqueId val="{00000000-4855-BF43-8BCD-2E43FA60BF0C}"/>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收盘价（元）</a:t>
                </a:r>
              </a:p>
            </c:rich>
          </c:tx>
          <c:overlay val="1"/>
        </c:title>
        <c:numFmt formatCode="#,##0.00&quot;元&quot;"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图17　收盘价对应总市值（亿元，性质E）</a:t>
            </a:r>
          </a:p>
        </c:rich>
      </c:tx>
      <c:overlay val="1"/>
    </c:title>
    <c:autoTitleDeleted val="0"/>
    <c:plotArea>
      <c:layout/>
      <c:barChart>
        <c:barDir val="col"/>
        <c:grouping val="clustered"/>
        <c:varyColors val="1"/>
        <c:ser>
          <c:idx val="0"/>
          <c:order val="0"/>
          <c:tx>
            <c:strRef>
              <c:f>'08_趋势图表'!$F$64</c:f>
              <c:strCache>
                <c:ptCount val="1"/>
                <c:pt idx="0">
                  <c:v>收盘市值(亿元)</c:v>
                </c:pt>
              </c:strCache>
            </c:strRef>
          </c:tx>
          <c:spPr>
            <a:ln>
              <a:prstDash val="solid"/>
            </a:ln>
          </c:spPr>
          <c:invertIfNegative val="1"/>
          <c:cat>
            <c:strRef>
              <c:f>'08_趋势图表'!$A$65:$A$72</c:f>
              <c:strCache>
                <c:ptCount val="8"/>
                <c:pt idx="0">
                  <c:v>2026-08-19</c:v>
                </c:pt>
                <c:pt idx="1">
                  <c:v>2026-08-20</c:v>
                </c:pt>
                <c:pt idx="2">
                  <c:v>2026-08-21</c:v>
                </c:pt>
                <c:pt idx="3">
                  <c:v>2026-08-24</c:v>
                </c:pt>
                <c:pt idx="4">
                  <c:v>2026-08-25</c:v>
                </c:pt>
                <c:pt idx="5">
                  <c:v>2026-08-26</c:v>
                </c:pt>
                <c:pt idx="6">
                  <c:v>2026-08-27</c:v>
                </c:pt>
                <c:pt idx="7">
                  <c:v>2026-08-28</c:v>
                </c:pt>
              </c:strCache>
            </c:strRef>
          </c:cat>
          <c:val>
            <c:numRef>
              <c:f>'08_趋势图表'!$F$65:$F$72</c:f>
              <c:numCache>
                <c:formatCode>#,##0.00</c:formatCode>
                <c:ptCount val="8"/>
                <c:pt idx="0">
                  <c:v>3417.723673</c:v>
                </c:pt>
                <c:pt idx="1">
                  <c:v>2778.6700157999999</c:v>
                </c:pt>
                <c:pt idx="2">
                  <c:v>2719.6586685940001</c:v>
                </c:pt>
                <c:pt idx="3">
                  <c:v>2439.243541672</c:v>
                </c:pt>
                <c:pt idx="4">
                  <c:v>2438.1110415199996</c:v>
                </c:pt>
                <c:pt idx="5">
                  <c:v>2392.5279104019996</c:v>
                </c:pt>
                <c:pt idx="6">
                  <c:v>2487.5770303019999</c:v>
                </c:pt>
                <c:pt idx="7">
                  <c:v>2366.1163889999998</c:v>
                </c:pt>
              </c:numCache>
            </c:numRef>
          </c:val>
          <c:extLst>
            <c:ext xmlns:c16="http://schemas.microsoft.com/office/drawing/2014/chart" uri="{C3380CC4-5D6E-409C-BE32-E72D297353CC}">
              <c16:uniqueId val="{00000000-959A-C341-ACEB-DA5F8E7292A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总市值（亿元）</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2"/>
  <c:chart>
    <c:title>
      <c:tx>
        <c:rich>
          <a:bodyPr/>
          <a:lstStyle/>
          <a:p>
            <a:pPr>
              <a:defRPr/>
            </a:pPr>
            <a:r>
              <a:t>图18　上市后单日涨跌幅与换手率（性质E）</a:t>
            </a:r>
          </a:p>
        </c:rich>
      </c:tx>
      <c:overlay val="1"/>
    </c:title>
    <c:autoTitleDeleted val="0"/>
    <c:plotArea>
      <c:layout/>
      <c:lineChart>
        <c:grouping val="standard"/>
        <c:varyColors val="1"/>
        <c:ser>
          <c:idx val="0"/>
          <c:order val="0"/>
          <c:tx>
            <c:strRef>
              <c:f>'08_趋势图表'!$C$64</c:f>
              <c:strCache>
                <c:ptCount val="1"/>
                <c:pt idx="0">
                  <c:v>单日涨跌幅</c:v>
                </c:pt>
              </c:strCache>
            </c:strRef>
          </c:tx>
          <c:spPr>
            <a:ln>
              <a:prstDash val="solid"/>
            </a:ln>
          </c:spPr>
          <c:marker>
            <c:symbol val="none"/>
          </c:marker>
          <c:cat>
            <c:strRef>
              <c:f>'08_趋势图表'!$A$65:$A$72</c:f>
              <c:strCache>
                <c:ptCount val="8"/>
                <c:pt idx="0">
                  <c:v>2026-08-19</c:v>
                </c:pt>
                <c:pt idx="1">
                  <c:v>2026-08-20</c:v>
                </c:pt>
                <c:pt idx="2">
                  <c:v>2026-08-21</c:v>
                </c:pt>
                <c:pt idx="3">
                  <c:v>2026-08-24</c:v>
                </c:pt>
                <c:pt idx="4">
                  <c:v>2026-08-25</c:v>
                </c:pt>
                <c:pt idx="5">
                  <c:v>2026-08-26</c:v>
                </c:pt>
                <c:pt idx="6">
                  <c:v>2026-08-27</c:v>
                </c:pt>
                <c:pt idx="7">
                  <c:v>2026-08-28</c:v>
                </c:pt>
              </c:strCache>
            </c:strRef>
          </c:cat>
          <c:val>
            <c:numRef>
              <c:f>'08_趋势图表'!$C$65:$C$72</c:f>
              <c:numCache>
                <c:formatCode>0.00%</c:formatCode>
                <c:ptCount val="8"/>
                <c:pt idx="0">
                  <c:v>4.6033999999999997</c:v>
                </c:pt>
                <c:pt idx="1">
                  <c:v>-0.187</c:v>
                </c:pt>
                <c:pt idx="2">
                  <c:v>-2.12E-2</c:v>
                </c:pt>
                <c:pt idx="3">
                  <c:v>-0.1031</c:v>
                </c:pt>
                <c:pt idx="4">
                  <c:v>-5.0000000000000001E-4</c:v>
                </c:pt>
                <c:pt idx="5">
                  <c:v>-1.8700000000000001E-2</c:v>
                </c:pt>
                <c:pt idx="6">
                  <c:v>3.9699999999999999E-2</c:v>
                </c:pt>
                <c:pt idx="7">
                  <c:v>-4.8800000000000003E-2</c:v>
                </c:pt>
              </c:numCache>
            </c:numRef>
          </c:val>
          <c:smooth val="1"/>
          <c:extLst>
            <c:ext xmlns:c16="http://schemas.microsoft.com/office/drawing/2014/chart" uri="{C3380CC4-5D6E-409C-BE32-E72D297353CC}">
              <c16:uniqueId val="{00000000-810F-E84F-92A2-9030A0B1211A}"/>
            </c:ext>
          </c:extLst>
        </c:ser>
        <c:ser>
          <c:idx val="1"/>
          <c:order val="1"/>
          <c:tx>
            <c:strRef>
              <c:f>'08_趋势图表'!$E$64</c:f>
              <c:strCache>
                <c:ptCount val="1"/>
                <c:pt idx="0">
                  <c:v>换手率</c:v>
                </c:pt>
              </c:strCache>
            </c:strRef>
          </c:tx>
          <c:spPr>
            <a:ln>
              <a:prstDash val="solid"/>
            </a:ln>
          </c:spPr>
          <c:marker>
            <c:symbol val="none"/>
          </c:marker>
          <c:cat>
            <c:strRef>
              <c:f>'08_趋势图表'!$A$65:$A$72</c:f>
              <c:strCache>
                <c:ptCount val="8"/>
                <c:pt idx="0">
                  <c:v>2026-08-19</c:v>
                </c:pt>
                <c:pt idx="1">
                  <c:v>2026-08-20</c:v>
                </c:pt>
                <c:pt idx="2">
                  <c:v>2026-08-21</c:v>
                </c:pt>
                <c:pt idx="3">
                  <c:v>2026-08-24</c:v>
                </c:pt>
                <c:pt idx="4">
                  <c:v>2026-08-25</c:v>
                </c:pt>
                <c:pt idx="5">
                  <c:v>2026-08-26</c:v>
                </c:pt>
                <c:pt idx="6">
                  <c:v>2026-08-27</c:v>
                </c:pt>
                <c:pt idx="7">
                  <c:v>2026-08-28</c:v>
                </c:pt>
              </c:strCache>
            </c:strRef>
          </c:cat>
          <c:val>
            <c:numRef>
              <c:f>'08_趋势图表'!$E$65:$E$72</c:f>
              <c:numCache>
                <c:formatCode>0.00%</c:formatCode>
                <c:ptCount val="8"/>
                <c:pt idx="0">
                  <c:v>0.8528</c:v>
                </c:pt>
                <c:pt idx="1">
                  <c:v>0.41980000000000001</c:v>
                </c:pt>
                <c:pt idx="2">
                  <c:v>0.25280000000000002</c:v>
                </c:pt>
                <c:pt idx="3">
                  <c:v>0.2702</c:v>
                </c:pt>
                <c:pt idx="4">
                  <c:v>0.1769</c:v>
                </c:pt>
                <c:pt idx="5">
                  <c:v>0.18559999999999999</c:v>
                </c:pt>
                <c:pt idx="6">
                  <c:v>0.2107</c:v>
                </c:pt>
                <c:pt idx="7">
                  <c:v>0.18859999999999999</c:v>
                </c:pt>
              </c:numCache>
            </c:numRef>
          </c:val>
          <c:smooth val="1"/>
          <c:extLst>
            <c:ext xmlns:c16="http://schemas.microsoft.com/office/drawing/2014/chart" uri="{C3380CC4-5D6E-409C-BE32-E72D297353CC}">
              <c16:uniqueId val="{00000001-810F-E84F-92A2-9030A0B1211A}"/>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比率</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10"/>
  <c:chart>
    <c:title>
      <c:tx>
        <c:rich>
          <a:bodyPr/>
          <a:lstStyle/>
          <a:p>
            <a:pPr>
              <a:defRPr/>
            </a:pPr>
            <a:r>
              <a:t>图19　2026年1-6月：管理层预计区间（性质D）vs 已实现（性质C）｜预计数不得表述为已实现</a:t>
            </a:r>
          </a:p>
        </c:rich>
      </c:tx>
      <c:overlay val="1"/>
    </c:title>
    <c:autoTitleDeleted val="0"/>
    <c:plotArea>
      <c:layout/>
      <c:barChart>
        <c:barDir val="col"/>
        <c:grouping val="clustered"/>
        <c:varyColors val="1"/>
        <c:ser>
          <c:idx val="0"/>
          <c:order val="0"/>
          <c:tx>
            <c:strRef>
              <c:f>'08_趋势图表'!$B$76</c:f>
              <c:strCache>
                <c:ptCount val="1"/>
                <c:pt idx="0">
                  <c:v>预计下限(D)</c:v>
                </c:pt>
              </c:strCache>
            </c:strRef>
          </c:tx>
          <c:spPr>
            <a:ln>
              <a:prstDash val="solid"/>
            </a:ln>
          </c:spPr>
          <c:invertIfNegative val="1"/>
          <c:cat>
            <c:strRef>
              <c:f>'08_趋势图表'!$A$77:$A$79</c:f>
              <c:strCache>
                <c:ptCount val="3"/>
                <c:pt idx="0">
                  <c:v>营业收入</c:v>
                </c:pt>
                <c:pt idx="1">
                  <c:v>归母净利润</c:v>
                </c:pt>
                <c:pt idx="2">
                  <c:v>扣非归母净利润</c:v>
                </c:pt>
              </c:strCache>
            </c:strRef>
          </c:cat>
          <c:val>
            <c:numRef>
              <c:f>'08_趋势图表'!$B$77:$B$79</c:f>
              <c:numCache>
                <c:formatCode>#,##0.00</c:formatCode>
                <c:ptCount val="3"/>
                <c:pt idx="0">
                  <c:v>105200</c:v>
                </c:pt>
                <c:pt idx="1">
                  <c:v>25800</c:v>
                </c:pt>
                <c:pt idx="2">
                  <c:v>23600</c:v>
                </c:pt>
              </c:numCache>
            </c:numRef>
          </c:val>
          <c:extLst>
            <c:ext xmlns:c16="http://schemas.microsoft.com/office/drawing/2014/chart" uri="{C3380CC4-5D6E-409C-BE32-E72D297353CC}">
              <c16:uniqueId val="{00000000-A920-354D-AB39-00455673F272}"/>
            </c:ext>
          </c:extLst>
        </c:ser>
        <c:ser>
          <c:idx val="1"/>
          <c:order val="1"/>
          <c:tx>
            <c:strRef>
              <c:f>'08_趋势图表'!$C$76</c:f>
              <c:strCache>
                <c:ptCount val="1"/>
                <c:pt idx="0">
                  <c:v>预计上限(D)</c:v>
                </c:pt>
              </c:strCache>
            </c:strRef>
          </c:tx>
          <c:spPr>
            <a:ln>
              <a:prstDash val="solid"/>
            </a:ln>
          </c:spPr>
          <c:invertIfNegative val="1"/>
          <c:cat>
            <c:strRef>
              <c:f>'08_趋势图表'!$A$77:$A$79</c:f>
              <c:strCache>
                <c:ptCount val="3"/>
                <c:pt idx="0">
                  <c:v>营业收入</c:v>
                </c:pt>
                <c:pt idx="1">
                  <c:v>归母净利润</c:v>
                </c:pt>
                <c:pt idx="2">
                  <c:v>扣非归母净利润</c:v>
                </c:pt>
              </c:strCache>
            </c:strRef>
          </c:cat>
          <c:val>
            <c:numRef>
              <c:f>'08_趋势图表'!$C$77:$C$79</c:f>
              <c:numCache>
                <c:formatCode>#,##0.00</c:formatCode>
                <c:ptCount val="3"/>
                <c:pt idx="0">
                  <c:v>112800</c:v>
                </c:pt>
                <c:pt idx="1">
                  <c:v>30600</c:v>
                </c:pt>
                <c:pt idx="2">
                  <c:v>28300</c:v>
                </c:pt>
              </c:numCache>
            </c:numRef>
          </c:val>
          <c:extLst>
            <c:ext xmlns:c16="http://schemas.microsoft.com/office/drawing/2014/chart" uri="{C3380CC4-5D6E-409C-BE32-E72D297353CC}">
              <c16:uniqueId val="{00000001-A920-354D-AB39-00455673F272}"/>
            </c:ext>
          </c:extLst>
        </c:ser>
        <c:ser>
          <c:idx val="2"/>
          <c:order val="2"/>
          <c:tx>
            <c:strRef>
              <c:f>'08_趋势图表'!$D$76</c:f>
              <c:strCache>
                <c:ptCount val="1"/>
                <c:pt idx="0">
                  <c:v>已实现(C)</c:v>
                </c:pt>
              </c:strCache>
            </c:strRef>
          </c:tx>
          <c:spPr>
            <a:ln>
              <a:prstDash val="solid"/>
            </a:ln>
          </c:spPr>
          <c:invertIfNegative val="1"/>
          <c:cat>
            <c:strRef>
              <c:f>'08_趋势图表'!$A$77:$A$79</c:f>
              <c:strCache>
                <c:ptCount val="3"/>
                <c:pt idx="0">
                  <c:v>营业收入</c:v>
                </c:pt>
                <c:pt idx="1">
                  <c:v>归母净利润</c:v>
                </c:pt>
                <c:pt idx="2">
                  <c:v>扣非归母净利润</c:v>
                </c:pt>
              </c:strCache>
            </c:strRef>
          </c:cat>
          <c:val>
            <c:numRef>
              <c:f>'08_趋势图表'!$D$77:$D$79</c:f>
              <c:numCache>
                <c:formatCode>#,##0.00</c:formatCode>
                <c:ptCount val="3"/>
                <c:pt idx="0">
                  <c:v>115224.56</c:v>
                </c:pt>
                <c:pt idx="1">
                  <c:v>27399.99</c:v>
                </c:pt>
                <c:pt idx="2">
                  <c:v>24393.03</c:v>
                </c:pt>
              </c:numCache>
            </c:numRef>
          </c:val>
          <c:extLst>
            <c:ext xmlns:c16="http://schemas.microsoft.com/office/drawing/2014/chart" uri="{C3380CC4-5D6E-409C-BE32-E72D297353CC}">
              <c16:uniqueId val="{00000002-A920-354D-AB39-00455673F27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金额（万元）</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0</xdr:col>
      <xdr:colOff>0</xdr:colOff>
      <xdr:row>83</xdr:row>
      <xdr:rowOff>0</xdr:rowOff>
    </xdr:from>
    <xdr:ext cx="6480000" cy="360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103</xdr:row>
      <xdr:rowOff>0</xdr:rowOff>
    </xdr:from>
    <xdr:ext cx="6480000" cy="3600000"/>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123</xdr:row>
      <xdr:rowOff>0</xdr:rowOff>
    </xdr:from>
    <xdr:ext cx="6480000" cy="3600000"/>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143</xdr:row>
      <xdr:rowOff>0</xdr:rowOff>
    </xdr:from>
    <xdr:ext cx="6480000" cy="3600000"/>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163</xdr:row>
      <xdr:rowOff>0</xdr:rowOff>
    </xdr:from>
    <xdr:ext cx="6480000" cy="3600000"/>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183</xdr:row>
      <xdr:rowOff>0</xdr:rowOff>
    </xdr:from>
    <xdr:ext cx="6480000" cy="3600000"/>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0</xdr:colOff>
      <xdr:row>203</xdr:row>
      <xdr:rowOff>0</xdr:rowOff>
    </xdr:from>
    <xdr:ext cx="6480000" cy="3600000"/>
    <xdr:graphicFrame macro="">
      <xdr:nvGraphicFramePr>
        <xdr:cNvPr id="8" name="Chart 7">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0</xdr:colOff>
      <xdr:row>223</xdr:row>
      <xdr:rowOff>0</xdr:rowOff>
    </xdr:from>
    <xdr:ext cx="6480000" cy="3600000"/>
    <xdr:graphicFrame macro="">
      <xdr:nvGraphicFramePr>
        <xdr:cNvPr id="9" name="Chart 8">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0</xdr:colOff>
      <xdr:row>243</xdr:row>
      <xdr:rowOff>0</xdr:rowOff>
    </xdr:from>
    <xdr:ext cx="6480000" cy="3600000"/>
    <xdr:graphicFrame macro="">
      <xdr:nvGraphicFramePr>
        <xdr:cNvPr id="10" name="Chart 9">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0</xdr:col>
      <xdr:colOff>0</xdr:colOff>
      <xdr:row>263</xdr:row>
      <xdr:rowOff>0</xdr:rowOff>
    </xdr:from>
    <xdr:ext cx="6480000" cy="3600000"/>
    <xdr:graphicFrame macro="">
      <xdr:nvGraphicFramePr>
        <xdr:cNvPr id="11" name="Chart 10">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0</xdr:col>
      <xdr:colOff>0</xdr:colOff>
      <xdr:row>283</xdr:row>
      <xdr:rowOff>0</xdr:rowOff>
    </xdr:from>
    <xdr:ext cx="6480000" cy="3600000"/>
    <xdr:graphicFrame macro="">
      <xdr:nvGraphicFramePr>
        <xdr:cNvPr id="12" name="Chart 11">
          <a:extLst>
            <a:ext uri="{FF2B5EF4-FFF2-40B4-BE49-F238E27FC236}">
              <a16:creationId xmlns:a16="http://schemas.microsoft.com/office/drawing/2014/main" id="{00000000-0008-0000-08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0</xdr:col>
      <xdr:colOff>0</xdr:colOff>
      <xdr:row>303</xdr:row>
      <xdr:rowOff>0</xdr:rowOff>
    </xdr:from>
    <xdr:ext cx="6480000" cy="3600000"/>
    <xdr:graphicFrame macro="">
      <xdr:nvGraphicFramePr>
        <xdr:cNvPr id="13" name="Chart 12">
          <a:extLst>
            <a:ext uri="{FF2B5EF4-FFF2-40B4-BE49-F238E27FC236}">
              <a16:creationId xmlns:a16="http://schemas.microsoft.com/office/drawing/2014/main" id="{00000000-0008-0000-08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oneCellAnchor>
    <xdr:from>
      <xdr:col>0</xdr:col>
      <xdr:colOff>0</xdr:colOff>
      <xdr:row>323</xdr:row>
      <xdr:rowOff>0</xdr:rowOff>
    </xdr:from>
    <xdr:ext cx="6480000" cy="3600000"/>
    <xdr:graphicFrame macro="">
      <xdr:nvGraphicFramePr>
        <xdr:cNvPr id="14" name="Chart 13">
          <a:extLst>
            <a:ext uri="{FF2B5EF4-FFF2-40B4-BE49-F238E27FC236}">
              <a16:creationId xmlns:a16="http://schemas.microsoft.com/office/drawing/2014/main" id="{00000000-0008-0000-08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oneCellAnchor>
  <xdr:oneCellAnchor>
    <xdr:from>
      <xdr:col>0</xdr:col>
      <xdr:colOff>0</xdr:colOff>
      <xdr:row>343</xdr:row>
      <xdr:rowOff>0</xdr:rowOff>
    </xdr:from>
    <xdr:ext cx="6480000" cy="3600000"/>
    <xdr:graphicFrame macro="">
      <xdr:nvGraphicFramePr>
        <xdr:cNvPr id="15" name="Chart 14">
          <a:extLst>
            <a:ext uri="{FF2B5EF4-FFF2-40B4-BE49-F238E27FC236}">
              <a16:creationId xmlns:a16="http://schemas.microsoft.com/office/drawing/2014/main" id="{00000000-0008-0000-08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oneCellAnchor>
  <xdr:oneCellAnchor>
    <xdr:from>
      <xdr:col>0</xdr:col>
      <xdr:colOff>0</xdr:colOff>
      <xdr:row>363</xdr:row>
      <xdr:rowOff>0</xdr:rowOff>
    </xdr:from>
    <xdr:ext cx="6480000" cy="3600000"/>
    <xdr:graphicFrame macro="">
      <xdr:nvGraphicFramePr>
        <xdr:cNvPr id="16" name="Chart 15">
          <a:extLst>
            <a:ext uri="{FF2B5EF4-FFF2-40B4-BE49-F238E27FC236}">
              <a16:creationId xmlns:a16="http://schemas.microsoft.com/office/drawing/2014/main" id="{00000000-0008-0000-08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oneCellAnchor>
    <xdr:from>
      <xdr:col>0</xdr:col>
      <xdr:colOff>0</xdr:colOff>
      <xdr:row>383</xdr:row>
      <xdr:rowOff>0</xdr:rowOff>
    </xdr:from>
    <xdr:ext cx="6480000" cy="3600000"/>
    <xdr:graphicFrame macro="">
      <xdr:nvGraphicFramePr>
        <xdr:cNvPr id="17" name="Chart 16">
          <a:extLst>
            <a:ext uri="{FF2B5EF4-FFF2-40B4-BE49-F238E27FC236}">
              <a16:creationId xmlns:a16="http://schemas.microsoft.com/office/drawing/2014/main" id="{00000000-0008-0000-08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oneCellAnchor>
  <xdr:oneCellAnchor>
    <xdr:from>
      <xdr:col>0</xdr:col>
      <xdr:colOff>0</xdr:colOff>
      <xdr:row>403</xdr:row>
      <xdr:rowOff>0</xdr:rowOff>
    </xdr:from>
    <xdr:ext cx="6480000" cy="3600000"/>
    <xdr:graphicFrame macro="">
      <xdr:nvGraphicFramePr>
        <xdr:cNvPr id="18" name="Chart 17">
          <a:extLst>
            <a:ext uri="{FF2B5EF4-FFF2-40B4-BE49-F238E27FC236}">
              <a16:creationId xmlns:a16="http://schemas.microsoft.com/office/drawing/2014/main" id="{00000000-0008-0000-08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oneCellAnchor>
  <xdr:oneCellAnchor>
    <xdr:from>
      <xdr:col>0</xdr:col>
      <xdr:colOff>0</xdr:colOff>
      <xdr:row>423</xdr:row>
      <xdr:rowOff>0</xdr:rowOff>
    </xdr:from>
    <xdr:ext cx="6480000" cy="3600000"/>
    <xdr:graphicFrame macro="">
      <xdr:nvGraphicFramePr>
        <xdr:cNvPr id="19" name="Chart 18">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oneCellAnchor>
  <xdr:oneCellAnchor>
    <xdr:from>
      <xdr:col>0</xdr:col>
      <xdr:colOff>0</xdr:colOff>
      <xdr:row>443</xdr:row>
      <xdr:rowOff>0</xdr:rowOff>
    </xdr:from>
    <xdr:ext cx="6480000" cy="3600000"/>
    <xdr:graphicFrame macro="">
      <xdr:nvGraphicFramePr>
        <xdr:cNvPr id="20" name="Chart 19">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44"/>
  <sheetViews>
    <sheetView showGridLines="0" workbookViewId="0">
      <selection sqref="A1:D1"/>
    </sheetView>
  </sheetViews>
  <sheetFormatPr baseColWidth="10" defaultColWidth="8.83203125" defaultRowHeight="14"/>
  <cols>
    <col min="1" max="1" width="34" customWidth="1"/>
    <col min="2" max="2" width="62" customWidth="1"/>
    <col min="3" max="3" width="30" customWidth="1"/>
    <col min="4" max="4" width="46" customWidth="1"/>
  </cols>
  <sheetData>
    <row r="1" spans="1:4" ht="34" customHeight="1">
      <c r="A1" s="82" t="s">
        <v>0</v>
      </c>
      <c r="B1" s="83"/>
      <c r="C1" s="83"/>
      <c r="D1" s="83"/>
    </row>
    <row r="2" spans="1:4" ht="26" customHeight="1">
      <c r="A2" s="86" t="s">
        <v>1</v>
      </c>
      <c r="B2" s="83"/>
      <c r="C2" s="83"/>
      <c r="D2" s="83"/>
    </row>
    <row r="4" spans="1:4" ht="20" customHeight="1">
      <c r="A4" s="84" t="s">
        <v>2</v>
      </c>
      <c r="B4" s="83"/>
      <c r="C4" s="83"/>
      <c r="D4" s="83"/>
    </row>
    <row r="5" spans="1:4" ht="15">
      <c r="A5" s="1" t="s">
        <v>3</v>
      </c>
      <c r="B5" s="2" t="s">
        <v>4</v>
      </c>
      <c r="C5" s="3"/>
      <c r="D5" s="3" t="s">
        <v>5</v>
      </c>
    </row>
    <row r="6" spans="1:4" ht="15">
      <c r="A6" s="1" t="s">
        <v>6</v>
      </c>
      <c r="B6" s="2" t="s">
        <v>7</v>
      </c>
      <c r="C6" s="3"/>
      <c r="D6" s="3" t="s">
        <v>5</v>
      </c>
    </row>
    <row r="7" spans="1:4" ht="15">
      <c r="A7" s="1" t="s">
        <v>8</v>
      </c>
      <c r="B7" s="2" t="s">
        <v>9</v>
      </c>
      <c r="C7" s="3"/>
      <c r="D7" s="3" t="s">
        <v>5</v>
      </c>
    </row>
    <row r="8" spans="1:4" ht="15">
      <c r="A8" s="1" t="s">
        <v>10</v>
      </c>
      <c r="B8" s="2" t="s">
        <v>11</v>
      </c>
      <c r="C8" s="3"/>
      <c r="D8" s="3" t="s">
        <v>5</v>
      </c>
    </row>
    <row r="9" spans="1:4" ht="15">
      <c r="A9" s="1" t="s">
        <v>12</v>
      </c>
      <c r="B9" s="2" t="s">
        <v>13</v>
      </c>
      <c r="C9" s="3"/>
      <c r="D9" s="3" t="s">
        <v>5</v>
      </c>
    </row>
    <row r="10" spans="1:4" ht="30">
      <c r="A10" s="1" t="s">
        <v>14</v>
      </c>
      <c r="B10" s="2" t="s">
        <v>15</v>
      </c>
      <c r="C10" s="3"/>
      <c r="D10" s="3" t="s">
        <v>5</v>
      </c>
    </row>
    <row r="11" spans="1:4" ht="15">
      <c r="A11" s="1" t="s">
        <v>16</v>
      </c>
      <c r="B11" s="2" t="s">
        <v>17</v>
      </c>
      <c r="C11" s="3"/>
      <c r="D11" s="3" t="s">
        <v>5</v>
      </c>
    </row>
    <row r="12" spans="1:4" ht="15">
      <c r="A12" s="1" t="s">
        <v>18</v>
      </c>
      <c r="B12" s="2" t="s">
        <v>19</v>
      </c>
      <c r="C12" s="3"/>
      <c r="D12" s="3" t="s">
        <v>5</v>
      </c>
    </row>
    <row r="13" spans="1:4" ht="15">
      <c r="A13" s="1" t="s">
        <v>20</v>
      </c>
      <c r="B13" s="2" t="s">
        <v>21</v>
      </c>
      <c r="C13" s="3"/>
      <c r="D13" s="3" t="s">
        <v>5</v>
      </c>
    </row>
    <row r="14" spans="1:4" ht="15">
      <c r="A14" s="1" t="s">
        <v>22</v>
      </c>
      <c r="B14" s="2" t="s">
        <v>23</v>
      </c>
      <c r="C14" s="3"/>
      <c r="D14" s="3" t="s">
        <v>5</v>
      </c>
    </row>
    <row r="15" spans="1:4" ht="15">
      <c r="A15" s="1" t="s">
        <v>24</v>
      </c>
      <c r="B15" s="2" t="s">
        <v>25</v>
      </c>
      <c r="C15" s="3"/>
      <c r="D15" s="3" t="s">
        <v>5</v>
      </c>
    </row>
    <row r="17" spans="1:4" ht="20" customHeight="1">
      <c r="A17" s="84" t="s">
        <v>26</v>
      </c>
      <c r="B17" s="83"/>
      <c r="C17" s="83"/>
      <c r="D17" s="83"/>
    </row>
    <row r="18" spans="1:4" ht="15">
      <c r="A18" s="1" t="s">
        <v>27</v>
      </c>
      <c r="B18" s="2" t="s">
        <v>28</v>
      </c>
      <c r="C18" s="3"/>
      <c r="D18" s="3" t="s">
        <v>5</v>
      </c>
    </row>
    <row r="19" spans="1:4" ht="15">
      <c r="A19" s="1" t="s">
        <v>29</v>
      </c>
      <c r="B19" s="2" t="s">
        <v>30</v>
      </c>
      <c r="C19" s="3"/>
      <c r="D19" s="3" t="s">
        <v>5</v>
      </c>
    </row>
    <row r="20" spans="1:4" ht="15">
      <c r="A20" s="1" t="s">
        <v>31</v>
      </c>
      <c r="B20" s="2" t="s">
        <v>32</v>
      </c>
      <c r="C20" s="3"/>
      <c r="D20" s="3" t="s">
        <v>5</v>
      </c>
    </row>
    <row r="21" spans="1:4" ht="15">
      <c r="A21" s="1" t="s">
        <v>33</v>
      </c>
      <c r="B21" s="2" t="s">
        <v>34</v>
      </c>
      <c r="C21" s="3"/>
      <c r="D21" s="3" t="s">
        <v>5</v>
      </c>
    </row>
    <row r="22" spans="1:4" ht="15">
      <c r="A22" s="1" t="s">
        <v>35</v>
      </c>
      <c r="B22" s="2" t="s">
        <v>36</v>
      </c>
      <c r="C22" s="3"/>
      <c r="D22" s="3" t="s">
        <v>5</v>
      </c>
    </row>
    <row r="23" spans="1:4" ht="30">
      <c r="A23" s="1" t="s">
        <v>37</v>
      </c>
      <c r="B23" s="2" t="s">
        <v>38</v>
      </c>
      <c r="C23" s="3"/>
      <c r="D23" s="3" t="s">
        <v>5</v>
      </c>
    </row>
    <row r="25" spans="1:4" ht="20" customHeight="1">
      <c r="A25" s="84" t="s">
        <v>39</v>
      </c>
      <c r="B25" s="83"/>
      <c r="C25" s="83"/>
      <c r="D25" s="83"/>
    </row>
    <row r="26" spans="1:4" ht="15">
      <c r="A26" s="1" t="s">
        <v>40</v>
      </c>
      <c r="B26" s="2" t="s">
        <v>41</v>
      </c>
      <c r="C26" s="3"/>
      <c r="D26" s="3"/>
    </row>
    <row r="27" spans="1:4" ht="15">
      <c r="A27" s="1" t="s">
        <v>42</v>
      </c>
      <c r="B27" s="2" t="s">
        <v>43</v>
      </c>
      <c r="C27" s="3"/>
      <c r="D27" s="3"/>
    </row>
    <row r="28" spans="1:4" ht="15">
      <c r="A28" s="1" t="s">
        <v>44</v>
      </c>
      <c r="B28" s="2" t="s">
        <v>45</v>
      </c>
      <c r="C28" s="3"/>
      <c r="D28" s="3"/>
    </row>
    <row r="29" spans="1:4" ht="15">
      <c r="A29" s="1" t="s">
        <v>46</v>
      </c>
      <c r="B29" s="2" t="s">
        <v>47</v>
      </c>
      <c r="C29" s="3"/>
      <c r="D29" s="3"/>
    </row>
    <row r="30" spans="1:4" ht="15">
      <c r="A30" s="1" t="s">
        <v>48</v>
      </c>
      <c r="B30" s="2" t="s">
        <v>49</v>
      </c>
      <c r="C30" s="3"/>
      <c r="D30" s="3"/>
    </row>
    <row r="31" spans="1:4" ht="15">
      <c r="A31" s="1" t="s">
        <v>50</v>
      </c>
      <c r="B31" s="2" t="s">
        <v>51</v>
      </c>
      <c r="C31" s="3"/>
      <c r="D31" s="3"/>
    </row>
    <row r="33" spans="1:4" ht="20" customHeight="1">
      <c r="A33" s="84" t="s">
        <v>52</v>
      </c>
      <c r="B33" s="83"/>
      <c r="C33" s="83"/>
      <c r="D33" s="83"/>
    </row>
    <row r="34" spans="1:4" ht="30" customHeight="1">
      <c r="A34" s="4" t="s">
        <v>53</v>
      </c>
      <c r="B34" s="4" t="s">
        <v>54</v>
      </c>
      <c r="C34" s="4" t="s">
        <v>55</v>
      </c>
      <c r="D34" s="4" t="s">
        <v>56</v>
      </c>
    </row>
    <row r="35" spans="1:4" ht="15">
      <c r="A35" s="2" t="s">
        <v>57</v>
      </c>
      <c r="B35" s="2" t="s">
        <v>58</v>
      </c>
      <c r="C35" s="2" t="s">
        <v>59</v>
      </c>
      <c r="D35" s="2" t="s">
        <v>60</v>
      </c>
    </row>
    <row r="36" spans="1:4" ht="15">
      <c r="A36" s="2" t="s">
        <v>61</v>
      </c>
      <c r="B36" s="2" t="s">
        <v>62</v>
      </c>
      <c r="C36" s="2" t="s">
        <v>63</v>
      </c>
      <c r="D36" s="2" t="s">
        <v>64</v>
      </c>
    </row>
    <row r="37" spans="1:4" ht="15">
      <c r="A37" s="2" t="s">
        <v>65</v>
      </c>
      <c r="B37" s="2" t="s">
        <v>66</v>
      </c>
      <c r="C37" s="2" t="s">
        <v>67</v>
      </c>
      <c r="D37" s="2" t="s">
        <v>68</v>
      </c>
    </row>
    <row r="38" spans="1:4" ht="30">
      <c r="A38" s="2" t="s">
        <v>69</v>
      </c>
      <c r="B38" s="1" t="s">
        <v>70</v>
      </c>
      <c r="C38" s="2" t="s">
        <v>71</v>
      </c>
      <c r="D38" s="2" t="s">
        <v>72</v>
      </c>
    </row>
    <row r="39" spans="1:4" ht="15">
      <c r="A39" s="2" t="s">
        <v>73</v>
      </c>
      <c r="B39" s="2" t="s">
        <v>74</v>
      </c>
      <c r="C39" s="2" t="s">
        <v>75</v>
      </c>
      <c r="D39" s="2" t="s">
        <v>76</v>
      </c>
    </row>
    <row r="41" spans="1:4" ht="52" customHeight="1">
      <c r="A41" s="85" t="s">
        <v>77</v>
      </c>
      <c r="B41" s="83"/>
      <c r="C41" s="83"/>
      <c r="D41" s="83"/>
    </row>
    <row r="43" spans="1:4" ht="20" customHeight="1">
      <c r="A43" s="84" t="s">
        <v>78</v>
      </c>
      <c r="B43" s="83"/>
      <c r="C43" s="83"/>
      <c r="D43" s="83"/>
    </row>
    <row r="44" spans="1:4" ht="26" customHeight="1">
      <c r="A44" s="87" t="s">
        <v>79</v>
      </c>
      <c r="B44" s="83"/>
      <c r="C44" s="83"/>
      <c r="D44" s="83"/>
    </row>
  </sheetData>
  <mergeCells count="9">
    <mergeCell ref="A44:D44"/>
    <mergeCell ref="A1:D1"/>
    <mergeCell ref="A17:D17"/>
    <mergeCell ref="A4:D4"/>
    <mergeCell ref="A25:D25"/>
    <mergeCell ref="A43:D43"/>
    <mergeCell ref="A41:D41"/>
    <mergeCell ref="A2:D2"/>
    <mergeCell ref="A33:D33"/>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C8A"/>
  </sheetPr>
  <dimension ref="A1:H15"/>
  <sheetViews>
    <sheetView showGridLines="0" workbookViewId="0"/>
  </sheetViews>
  <sheetFormatPr baseColWidth="10" defaultColWidth="8.83203125" defaultRowHeight="14"/>
  <cols>
    <col min="1" max="1" width="10" customWidth="1"/>
    <col min="2" max="2" width="46" customWidth="1"/>
    <col min="3" max="3" width="22" customWidth="1"/>
    <col min="4" max="5" width="12" customWidth="1"/>
    <col min="6" max="6" width="30" customWidth="1"/>
    <col min="7" max="7" width="34" customWidth="1"/>
    <col min="8" max="8" width="26" customWidth="1"/>
  </cols>
  <sheetData>
    <row r="1" spans="1:8" ht="26" customHeight="1">
      <c r="A1" s="82" t="s">
        <v>80</v>
      </c>
      <c r="B1" s="83"/>
      <c r="C1" s="83"/>
      <c r="D1" s="83"/>
      <c r="E1" s="83"/>
      <c r="F1" s="83"/>
      <c r="G1" s="83"/>
      <c r="H1" s="83"/>
    </row>
    <row r="2" spans="1:8" ht="26" customHeight="1">
      <c r="A2" s="87" t="s">
        <v>81</v>
      </c>
      <c r="B2" s="83"/>
      <c r="C2" s="83"/>
      <c r="D2" s="83"/>
      <c r="E2" s="83"/>
      <c r="F2" s="83"/>
      <c r="G2" s="83"/>
      <c r="H2" s="83"/>
    </row>
    <row r="3" spans="1:8" ht="30" customHeight="1">
      <c r="A3" s="4" t="s">
        <v>82</v>
      </c>
      <c r="B3" s="4" t="s">
        <v>83</v>
      </c>
      <c r="C3" s="4" t="s">
        <v>84</v>
      </c>
      <c r="D3" s="4" t="s">
        <v>85</v>
      </c>
      <c r="E3" s="4" t="s">
        <v>86</v>
      </c>
      <c r="F3" s="4" t="s">
        <v>87</v>
      </c>
      <c r="G3" s="4" t="s">
        <v>88</v>
      </c>
      <c r="H3" s="4" t="s">
        <v>89</v>
      </c>
    </row>
    <row r="4" spans="1:8" ht="45">
      <c r="A4" s="2" t="s">
        <v>90</v>
      </c>
      <c r="B4" s="1" t="s">
        <v>91</v>
      </c>
      <c r="C4" s="2" t="s">
        <v>92</v>
      </c>
      <c r="D4" s="2" t="s">
        <v>93</v>
      </c>
      <c r="E4" s="2" t="s">
        <v>94</v>
      </c>
      <c r="F4" s="1" t="s">
        <v>95</v>
      </c>
      <c r="G4" s="1" t="s">
        <v>96</v>
      </c>
      <c r="H4" s="1" t="s">
        <v>97</v>
      </c>
    </row>
    <row r="5" spans="1:8" ht="45">
      <c r="A5" s="2" t="s">
        <v>98</v>
      </c>
      <c r="B5" s="2" t="s">
        <v>99</v>
      </c>
      <c r="C5" s="2" t="s">
        <v>92</v>
      </c>
      <c r="D5" s="2" t="s">
        <v>100</v>
      </c>
      <c r="E5" s="2" t="s">
        <v>94</v>
      </c>
      <c r="F5" s="2" t="s">
        <v>101</v>
      </c>
      <c r="G5" s="1" t="s">
        <v>102</v>
      </c>
      <c r="H5" s="2" t="s">
        <v>103</v>
      </c>
    </row>
    <row r="6" spans="1:8" ht="30">
      <c r="A6" s="2" t="s">
        <v>104</v>
      </c>
      <c r="B6" s="2" t="s">
        <v>105</v>
      </c>
      <c r="C6" s="2" t="s">
        <v>92</v>
      </c>
      <c r="D6" s="2" t="s">
        <v>100</v>
      </c>
      <c r="E6" s="2" t="s">
        <v>94</v>
      </c>
      <c r="F6" s="2" t="s">
        <v>106</v>
      </c>
      <c r="G6" s="2" t="s">
        <v>107</v>
      </c>
      <c r="H6" s="2" t="s">
        <v>108</v>
      </c>
    </row>
    <row r="7" spans="1:8" ht="30">
      <c r="A7" s="2" t="s">
        <v>109</v>
      </c>
      <c r="B7" s="2" t="s">
        <v>110</v>
      </c>
      <c r="C7" s="2" t="s">
        <v>92</v>
      </c>
      <c r="D7" s="2" t="s">
        <v>93</v>
      </c>
      <c r="E7" s="2" t="s">
        <v>94</v>
      </c>
      <c r="F7" s="2" t="s">
        <v>111</v>
      </c>
      <c r="G7" s="2" t="s">
        <v>107</v>
      </c>
      <c r="H7" s="2" t="s">
        <v>112</v>
      </c>
    </row>
    <row r="8" spans="1:8" ht="30">
      <c r="A8" s="2" t="s">
        <v>113</v>
      </c>
      <c r="B8" s="2" t="s">
        <v>114</v>
      </c>
      <c r="C8" s="2" t="s">
        <v>92</v>
      </c>
      <c r="D8" s="2" t="s">
        <v>115</v>
      </c>
      <c r="E8" s="2" t="s">
        <v>94</v>
      </c>
      <c r="F8" s="2" t="s">
        <v>116</v>
      </c>
      <c r="G8" s="2" t="s">
        <v>107</v>
      </c>
      <c r="H8" s="2" t="s">
        <v>117</v>
      </c>
    </row>
    <row r="9" spans="1:8" ht="30">
      <c r="A9" s="2" t="s">
        <v>118</v>
      </c>
      <c r="B9" s="2" t="s">
        <v>119</v>
      </c>
      <c r="C9" s="2" t="s">
        <v>92</v>
      </c>
      <c r="D9" s="2" t="s">
        <v>120</v>
      </c>
      <c r="E9" s="2" t="s">
        <v>94</v>
      </c>
      <c r="F9" s="2" t="s">
        <v>121</v>
      </c>
      <c r="G9" s="2" t="s">
        <v>107</v>
      </c>
      <c r="H9" s="2" t="s">
        <v>122</v>
      </c>
    </row>
    <row r="10" spans="1:8" ht="30">
      <c r="A10" s="2" t="s">
        <v>123</v>
      </c>
      <c r="B10" s="2" t="s">
        <v>124</v>
      </c>
      <c r="C10" s="2" t="s">
        <v>125</v>
      </c>
      <c r="D10" s="2" t="s">
        <v>126</v>
      </c>
      <c r="E10" s="2" t="s">
        <v>127</v>
      </c>
      <c r="F10" s="2" t="s">
        <v>128</v>
      </c>
      <c r="G10" s="2" t="s">
        <v>107</v>
      </c>
      <c r="H10" s="2" t="s">
        <v>129</v>
      </c>
    </row>
    <row r="11" spans="1:8" ht="30">
      <c r="A11" s="2" t="s">
        <v>130</v>
      </c>
      <c r="B11" s="1" t="s">
        <v>131</v>
      </c>
      <c r="C11" s="2" t="s">
        <v>132</v>
      </c>
      <c r="D11" s="2" t="s">
        <v>133</v>
      </c>
      <c r="E11" s="2" t="s">
        <v>127</v>
      </c>
      <c r="F11" s="2" t="s">
        <v>134</v>
      </c>
      <c r="G11" s="2" t="s">
        <v>107</v>
      </c>
      <c r="H11" s="2" t="s">
        <v>135</v>
      </c>
    </row>
    <row r="12" spans="1:8" ht="30">
      <c r="A12" s="5" t="s">
        <v>136</v>
      </c>
      <c r="B12" s="6" t="s">
        <v>137</v>
      </c>
      <c r="C12" s="6" t="s">
        <v>138</v>
      </c>
      <c r="D12" s="5" t="s">
        <v>139</v>
      </c>
      <c r="E12" s="5" t="s">
        <v>140</v>
      </c>
      <c r="F12" s="6" t="s">
        <v>141</v>
      </c>
      <c r="G12" s="5" t="s">
        <v>142</v>
      </c>
      <c r="H12" s="5" t="s">
        <v>143</v>
      </c>
    </row>
    <row r="13" spans="1:8" ht="30">
      <c r="A13" s="5" t="s">
        <v>144</v>
      </c>
      <c r="B13" s="5" t="s">
        <v>145</v>
      </c>
      <c r="C13" s="5" t="s">
        <v>146</v>
      </c>
      <c r="D13" s="5" t="s">
        <v>147</v>
      </c>
      <c r="E13" s="5" t="s">
        <v>148</v>
      </c>
      <c r="F13" s="5" t="s">
        <v>149</v>
      </c>
      <c r="G13" s="5" t="s">
        <v>150</v>
      </c>
      <c r="H13" s="5" t="s">
        <v>151</v>
      </c>
    </row>
    <row r="15" spans="1:8" ht="15" customHeight="1">
      <c r="A15" s="86" t="s">
        <v>152</v>
      </c>
      <c r="B15" s="83"/>
      <c r="C15" s="83"/>
      <c r="D15" s="83"/>
      <c r="E15" s="83"/>
      <c r="F15" s="83"/>
      <c r="G15" s="83"/>
      <c r="H15" s="83"/>
    </row>
  </sheetData>
  <mergeCells count="3">
    <mergeCell ref="A15:H15"/>
    <mergeCell ref="A2:H2"/>
    <mergeCell ref="A1:H1"/>
  </mergeCells>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K74"/>
  <sheetViews>
    <sheetView showGridLines="0" workbookViewId="0"/>
  </sheetViews>
  <sheetFormatPr baseColWidth="10" defaultColWidth="8.83203125" defaultRowHeight="14"/>
  <cols>
    <col min="1" max="1" width="13" customWidth="1"/>
    <col min="2" max="6" width="12" customWidth="1"/>
    <col min="7" max="7" width="18" customWidth="1"/>
    <col min="8" max="8" width="10" customWidth="1"/>
    <col min="9" max="11" width="11" customWidth="1"/>
  </cols>
  <sheetData>
    <row r="1" spans="1:4" ht="26" customHeight="1">
      <c r="A1" s="82" t="s">
        <v>153</v>
      </c>
      <c r="B1" s="83"/>
      <c r="C1" s="83"/>
      <c r="D1" s="83"/>
    </row>
    <row r="2" spans="1:4" ht="30" customHeight="1">
      <c r="A2" s="4" t="s">
        <v>154</v>
      </c>
      <c r="B2" s="4" t="s">
        <v>155</v>
      </c>
      <c r="C2" s="4" t="s">
        <v>156</v>
      </c>
      <c r="D2" s="4" t="s">
        <v>157</v>
      </c>
    </row>
    <row r="3" spans="1:4" ht="20" customHeight="1">
      <c r="A3" s="84" t="s">
        <v>158</v>
      </c>
      <c r="B3" s="83"/>
      <c r="C3" s="83"/>
      <c r="D3" s="83"/>
    </row>
    <row r="4" spans="1:4" ht="15">
      <c r="A4" s="1" t="s">
        <v>159</v>
      </c>
      <c r="B4" s="7">
        <v>1</v>
      </c>
      <c r="C4" s="3" t="s">
        <v>160</v>
      </c>
      <c r="D4" s="3" t="s">
        <v>98</v>
      </c>
    </row>
    <row r="5" spans="1:4" ht="30">
      <c r="A5" s="1" t="s">
        <v>161</v>
      </c>
      <c r="B5" s="7">
        <v>150.80000000000001</v>
      </c>
      <c r="C5" s="3" t="s">
        <v>160</v>
      </c>
      <c r="D5" s="3" t="s">
        <v>98</v>
      </c>
    </row>
    <row r="6" spans="1:4" ht="30">
      <c r="A6" s="1" t="s">
        <v>162</v>
      </c>
      <c r="B6" s="8">
        <v>40446434</v>
      </c>
      <c r="C6" s="3" t="s">
        <v>160</v>
      </c>
      <c r="D6" s="3" t="s">
        <v>98</v>
      </c>
    </row>
    <row r="7" spans="1:4" ht="30">
      <c r="A7" s="1" t="s">
        <v>163</v>
      </c>
      <c r="B7" s="7">
        <v>4044.6433999999999</v>
      </c>
      <c r="C7" s="3" t="s">
        <v>160</v>
      </c>
      <c r="D7" s="3" t="s">
        <v>98</v>
      </c>
    </row>
    <row r="8" spans="1:4" ht="30">
      <c r="A8" s="1" t="s">
        <v>164</v>
      </c>
      <c r="B8" s="9">
        <v>0.1</v>
      </c>
      <c r="C8" s="3" t="s">
        <v>160</v>
      </c>
      <c r="D8" s="3" t="s">
        <v>98</v>
      </c>
    </row>
    <row r="9" spans="1:4" ht="30">
      <c r="A9" s="1" t="s">
        <v>165</v>
      </c>
      <c r="B9" s="7">
        <v>36401.7906</v>
      </c>
      <c r="C9" s="3" t="s">
        <v>160</v>
      </c>
      <c r="D9" s="3" t="s">
        <v>90</v>
      </c>
    </row>
    <row r="10" spans="1:4" ht="30">
      <c r="A10" s="1" t="s">
        <v>166</v>
      </c>
      <c r="B10" s="8">
        <v>404464340</v>
      </c>
      <c r="C10" s="3" t="s">
        <v>160</v>
      </c>
      <c r="D10" s="3" t="s">
        <v>98</v>
      </c>
    </row>
    <row r="11" spans="1:4" ht="30">
      <c r="A11" s="1" t="s">
        <v>167</v>
      </c>
      <c r="B11" s="7">
        <v>40446.434000000001</v>
      </c>
      <c r="C11" s="3" t="s">
        <v>160</v>
      </c>
      <c r="D11" s="3" t="s">
        <v>98</v>
      </c>
    </row>
    <row r="12" spans="1:4" ht="30">
      <c r="A12" s="1" t="s">
        <v>168</v>
      </c>
      <c r="B12" s="2" t="s">
        <v>169</v>
      </c>
      <c r="C12" s="3" t="s">
        <v>160</v>
      </c>
      <c r="D12" s="3" t="s">
        <v>98</v>
      </c>
    </row>
    <row r="13" spans="1:4" ht="30">
      <c r="A13" s="1" t="s">
        <v>170</v>
      </c>
      <c r="B13" s="2" t="s">
        <v>169</v>
      </c>
      <c r="C13" s="3" t="s">
        <v>160</v>
      </c>
      <c r="D13" s="3" t="s">
        <v>98</v>
      </c>
    </row>
    <row r="14" spans="1:4" ht="20" customHeight="1">
      <c r="A14" s="84" t="s">
        <v>171</v>
      </c>
      <c r="B14" s="83"/>
      <c r="C14" s="83"/>
      <c r="D14" s="83"/>
    </row>
    <row r="15" spans="1:4" ht="30">
      <c r="A15" s="1" t="s">
        <v>172</v>
      </c>
      <c r="B15" s="8">
        <v>8089286</v>
      </c>
      <c r="C15" s="3" t="s">
        <v>160</v>
      </c>
      <c r="D15" s="3" t="s">
        <v>98</v>
      </c>
    </row>
    <row r="16" spans="1:4" ht="30">
      <c r="A16" s="1" t="s">
        <v>173</v>
      </c>
      <c r="B16" s="9">
        <v>0.2</v>
      </c>
      <c r="C16" s="3" t="s">
        <v>160</v>
      </c>
      <c r="D16" s="3" t="s">
        <v>98</v>
      </c>
    </row>
    <row r="17" spans="1:4" ht="30">
      <c r="A17" s="1" t="s">
        <v>174</v>
      </c>
      <c r="B17" s="8">
        <v>22650148</v>
      </c>
      <c r="C17" s="3" t="s">
        <v>160</v>
      </c>
      <c r="D17" s="3" t="s">
        <v>98</v>
      </c>
    </row>
    <row r="18" spans="1:4" ht="30">
      <c r="A18" s="1" t="s">
        <v>175</v>
      </c>
      <c r="B18" s="8">
        <v>22650148</v>
      </c>
      <c r="C18" s="3" t="s">
        <v>160</v>
      </c>
      <c r="D18" s="3" t="s">
        <v>98</v>
      </c>
    </row>
    <row r="19" spans="1:4" ht="30">
      <c r="A19" s="1" t="s">
        <v>176</v>
      </c>
      <c r="B19" s="8">
        <v>0</v>
      </c>
      <c r="C19" s="3" t="s">
        <v>160</v>
      </c>
      <c r="D19" s="3" t="s">
        <v>98</v>
      </c>
    </row>
    <row r="20" spans="1:4" ht="30">
      <c r="A20" s="1" t="s">
        <v>177</v>
      </c>
      <c r="B20" s="8">
        <v>9707000</v>
      </c>
      <c r="C20" s="3" t="s">
        <v>160</v>
      </c>
      <c r="D20" s="3" t="s">
        <v>98</v>
      </c>
    </row>
    <row r="21" spans="1:4" ht="30">
      <c r="A21" s="1" t="s">
        <v>178</v>
      </c>
      <c r="B21" s="8">
        <v>9698266</v>
      </c>
      <c r="C21" s="3" t="s">
        <v>160</v>
      </c>
      <c r="D21" s="3" t="s">
        <v>98</v>
      </c>
    </row>
    <row r="22" spans="1:4" ht="30">
      <c r="A22" s="1" t="s">
        <v>179</v>
      </c>
      <c r="B22" s="8">
        <v>8734</v>
      </c>
      <c r="C22" s="3" t="s">
        <v>160</v>
      </c>
      <c r="D22" s="3" t="s">
        <v>98</v>
      </c>
    </row>
    <row r="23" spans="1:4" ht="45">
      <c r="A23" s="1" t="s">
        <v>180</v>
      </c>
      <c r="B23" s="8">
        <v>8734</v>
      </c>
      <c r="C23" s="3" t="s">
        <v>160</v>
      </c>
      <c r="D23" s="3" t="s">
        <v>98</v>
      </c>
    </row>
    <row r="24" spans="1:4" ht="30">
      <c r="A24" s="1" t="s">
        <v>181</v>
      </c>
      <c r="B24" s="8">
        <v>27666</v>
      </c>
      <c r="C24" s="3" t="s">
        <v>160</v>
      </c>
      <c r="D24" s="3" t="s">
        <v>98</v>
      </c>
    </row>
    <row r="25" spans="1:4" ht="20" customHeight="1">
      <c r="A25" s="84" t="s">
        <v>182</v>
      </c>
      <c r="B25" s="83"/>
      <c r="C25" s="83"/>
      <c r="D25" s="83"/>
    </row>
    <row r="26" spans="1:4" ht="30">
      <c r="A26" s="1" t="s">
        <v>183</v>
      </c>
      <c r="B26" s="7">
        <v>609932.22</v>
      </c>
      <c r="C26" s="3" t="s">
        <v>160</v>
      </c>
      <c r="D26" s="3" t="s">
        <v>98</v>
      </c>
    </row>
    <row r="27" spans="1:4" ht="45">
      <c r="A27" s="1" t="s">
        <v>184</v>
      </c>
      <c r="B27" s="7">
        <v>18217.310000000001</v>
      </c>
      <c r="C27" s="3" t="s">
        <v>160</v>
      </c>
      <c r="D27" s="3" t="s">
        <v>98</v>
      </c>
    </row>
    <row r="28" spans="1:4" ht="30">
      <c r="A28" s="1" t="s">
        <v>185</v>
      </c>
      <c r="B28" s="7">
        <v>14499.32</v>
      </c>
      <c r="C28" s="3" t="s">
        <v>160</v>
      </c>
      <c r="D28" s="3" t="s">
        <v>98</v>
      </c>
    </row>
    <row r="29" spans="1:4" ht="30">
      <c r="A29" s="1" t="s">
        <v>186</v>
      </c>
      <c r="B29" s="7">
        <v>1828.3</v>
      </c>
      <c r="C29" s="3" t="s">
        <v>160</v>
      </c>
      <c r="D29" s="3" t="s">
        <v>98</v>
      </c>
    </row>
    <row r="30" spans="1:4" ht="30">
      <c r="A30" s="1" t="s">
        <v>187</v>
      </c>
      <c r="B30" s="7">
        <v>1100</v>
      </c>
      <c r="C30" s="3" t="s">
        <v>160</v>
      </c>
      <c r="D30" s="3" t="s">
        <v>98</v>
      </c>
    </row>
    <row r="31" spans="1:4" ht="45">
      <c r="A31" s="1" t="s">
        <v>188</v>
      </c>
      <c r="B31" s="7">
        <v>603.77</v>
      </c>
      <c r="C31" s="3" t="s">
        <v>160</v>
      </c>
      <c r="D31" s="3" t="s">
        <v>98</v>
      </c>
    </row>
    <row r="32" spans="1:4" ht="45">
      <c r="A32" s="1" t="s">
        <v>189</v>
      </c>
      <c r="B32" s="7">
        <v>185.91</v>
      </c>
      <c r="C32" s="3" t="s">
        <v>160</v>
      </c>
      <c r="D32" s="3" t="s">
        <v>98</v>
      </c>
    </row>
    <row r="33" spans="1:4" ht="30">
      <c r="A33" s="1" t="s">
        <v>190</v>
      </c>
      <c r="B33" s="7">
        <v>591714.92000000004</v>
      </c>
      <c r="C33" s="3" t="s">
        <v>160</v>
      </c>
      <c r="D33" s="3" t="s">
        <v>98</v>
      </c>
    </row>
    <row r="34" spans="1:4" ht="60">
      <c r="A34" s="1" t="s">
        <v>191</v>
      </c>
      <c r="B34" s="2" t="s">
        <v>192</v>
      </c>
      <c r="C34" s="3" t="s">
        <v>160</v>
      </c>
      <c r="D34" s="3" t="s">
        <v>98</v>
      </c>
    </row>
    <row r="35" spans="1:4" ht="20" customHeight="1">
      <c r="A35" s="84" t="s">
        <v>193</v>
      </c>
      <c r="B35" s="83"/>
      <c r="C35" s="83"/>
      <c r="D35" s="83"/>
    </row>
    <row r="36" spans="1:4" ht="60">
      <c r="A36" s="1" t="s">
        <v>194</v>
      </c>
      <c r="B36" s="7">
        <v>92.92</v>
      </c>
      <c r="C36" s="3" t="s">
        <v>160</v>
      </c>
      <c r="D36" s="3" t="s">
        <v>195</v>
      </c>
    </row>
    <row r="37" spans="1:4" ht="60">
      <c r="A37" s="1" t="s">
        <v>196</v>
      </c>
      <c r="B37" s="7">
        <v>197.31</v>
      </c>
      <c r="C37" s="3" t="s">
        <v>160</v>
      </c>
      <c r="D37" s="3" t="s">
        <v>195</v>
      </c>
    </row>
    <row r="38" spans="1:4" ht="60">
      <c r="A38" s="1" t="s">
        <v>197</v>
      </c>
      <c r="B38" s="7">
        <v>103.25</v>
      </c>
      <c r="C38" s="3" t="s">
        <v>160</v>
      </c>
      <c r="D38" s="3" t="s">
        <v>195</v>
      </c>
    </row>
    <row r="39" spans="1:4" ht="105">
      <c r="A39" s="1" t="s">
        <v>198</v>
      </c>
      <c r="B39" s="7">
        <v>219.23</v>
      </c>
      <c r="C39" s="3" t="s">
        <v>160</v>
      </c>
      <c r="D39" s="3" t="s">
        <v>195</v>
      </c>
    </row>
    <row r="40" spans="1:4" ht="60">
      <c r="A40" s="1" t="s">
        <v>199</v>
      </c>
      <c r="B40" s="7">
        <v>32.299999999999997</v>
      </c>
      <c r="C40" s="3" t="s">
        <v>160</v>
      </c>
      <c r="D40" s="3" t="s">
        <v>98</v>
      </c>
    </row>
    <row r="41" spans="1:4" ht="75">
      <c r="A41" s="1" t="s">
        <v>200</v>
      </c>
      <c r="B41" s="7">
        <v>35.89</v>
      </c>
      <c r="C41" s="3" t="s">
        <v>160</v>
      </c>
      <c r="D41" s="3" t="s">
        <v>98</v>
      </c>
    </row>
    <row r="42" spans="1:4" ht="45">
      <c r="A42" s="1" t="s">
        <v>201</v>
      </c>
      <c r="B42" s="7">
        <v>7.16</v>
      </c>
      <c r="C42" s="3" t="s">
        <v>160</v>
      </c>
      <c r="D42" s="3" t="s">
        <v>98</v>
      </c>
    </row>
    <row r="43" spans="1:4" ht="60">
      <c r="A43" s="1" t="s">
        <v>202</v>
      </c>
      <c r="B43" s="9">
        <v>0.69</v>
      </c>
      <c r="C43" s="3" t="s">
        <v>160</v>
      </c>
      <c r="D43" s="3" t="s">
        <v>98</v>
      </c>
    </row>
    <row r="44" spans="1:4" ht="30">
      <c r="A44" s="1" t="s">
        <v>203</v>
      </c>
      <c r="B44" s="7">
        <v>21.07</v>
      </c>
      <c r="C44" s="3" t="s">
        <v>160</v>
      </c>
      <c r="D44" s="3" t="s">
        <v>98</v>
      </c>
    </row>
    <row r="45" spans="1:4" ht="45">
      <c r="A45" s="1" t="s">
        <v>204</v>
      </c>
      <c r="B45" s="7">
        <v>609.92999999999995</v>
      </c>
      <c r="C45" s="3" t="s">
        <v>160</v>
      </c>
      <c r="D45" s="3" t="s">
        <v>98</v>
      </c>
    </row>
    <row r="46" spans="1:4" ht="20" customHeight="1">
      <c r="A46" s="84" t="s">
        <v>205</v>
      </c>
      <c r="B46" s="83"/>
      <c r="C46" s="83"/>
      <c r="D46" s="83"/>
    </row>
    <row r="47" spans="1:4" ht="75">
      <c r="A47" s="1" t="s">
        <v>206</v>
      </c>
      <c r="B47" s="7">
        <v>38.56</v>
      </c>
      <c r="C47" s="3" t="s">
        <v>160</v>
      </c>
      <c r="D47" s="3" t="s">
        <v>98</v>
      </c>
    </row>
    <row r="48" spans="1:4" ht="75">
      <c r="A48" s="1" t="s">
        <v>207</v>
      </c>
      <c r="B48" s="7">
        <v>19.739999999999998</v>
      </c>
      <c r="C48" s="3" t="s">
        <v>160</v>
      </c>
      <c r="D48" s="3" t="s">
        <v>98</v>
      </c>
    </row>
    <row r="49" spans="1:11" ht="135">
      <c r="A49" s="1" t="s">
        <v>208</v>
      </c>
      <c r="B49" s="2" t="s">
        <v>209</v>
      </c>
      <c r="C49" s="3" t="s">
        <v>160</v>
      </c>
      <c r="D49" s="3" t="s">
        <v>98</v>
      </c>
    </row>
    <row r="50" spans="1:11" ht="75">
      <c r="A50" s="1" t="s">
        <v>210</v>
      </c>
      <c r="B50" s="2" t="s">
        <v>211</v>
      </c>
      <c r="C50" s="3" t="s">
        <v>160</v>
      </c>
      <c r="D50" s="3" t="s">
        <v>98</v>
      </c>
    </row>
    <row r="51" spans="1:11" ht="20" customHeight="1">
      <c r="A51" s="84" t="s">
        <v>212</v>
      </c>
      <c r="B51" s="83"/>
      <c r="C51" s="83"/>
      <c r="D51" s="83"/>
    </row>
    <row r="52" spans="1:11" ht="135">
      <c r="A52" s="1" t="s">
        <v>213</v>
      </c>
      <c r="B52" s="2" t="s">
        <v>214</v>
      </c>
      <c r="C52" s="3" t="s">
        <v>160</v>
      </c>
      <c r="D52" s="3" t="s">
        <v>90</v>
      </c>
    </row>
    <row r="53" spans="1:11" ht="60">
      <c r="A53" s="1" t="s">
        <v>215</v>
      </c>
      <c r="B53" s="7">
        <v>120</v>
      </c>
      <c r="C53" s="3" t="s">
        <v>160</v>
      </c>
      <c r="D53" s="3" t="s">
        <v>90</v>
      </c>
    </row>
    <row r="54" spans="1:11" ht="60">
      <c r="A54" s="1" t="s">
        <v>216</v>
      </c>
      <c r="B54" s="7">
        <v>127</v>
      </c>
      <c r="C54" s="3" t="s">
        <v>160</v>
      </c>
      <c r="D54" s="3" t="s">
        <v>90</v>
      </c>
    </row>
    <row r="55" spans="1:11" ht="20" customHeight="1">
      <c r="A55" s="84" t="s">
        <v>217</v>
      </c>
      <c r="B55" s="83"/>
      <c r="C55" s="83"/>
      <c r="D55" s="83"/>
    </row>
    <row r="56" spans="1:11" ht="60">
      <c r="A56" s="1" t="s">
        <v>18</v>
      </c>
      <c r="B56" s="2" t="s">
        <v>218</v>
      </c>
      <c r="C56" s="3" t="s">
        <v>160</v>
      </c>
      <c r="D56" s="3" t="s">
        <v>98</v>
      </c>
    </row>
    <row r="57" spans="1:11" ht="75">
      <c r="A57" s="1" t="s">
        <v>219</v>
      </c>
      <c r="B57" s="2" t="s">
        <v>220</v>
      </c>
      <c r="C57" s="3" t="s">
        <v>160</v>
      </c>
      <c r="D57" s="3" t="s">
        <v>98</v>
      </c>
    </row>
    <row r="58" spans="1:11" ht="45">
      <c r="A58" s="1" t="s">
        <v>221</v>
      </c>
      <c r="B58" s="2" t="s">
        <v>21</v>
      </c>
      <c r="C58" s="3" t="s">
        <v>160</v>
      </c>
      <c r="D58" s="3" t="s">
        <v>98</v>
      </c>
    </row>
    <row r="59" spans="1:11" ht="60">
      <c r="A59" s="1" t="s">
        <v>222</v>
      </c>
      <c r="B59" s="2" t="s">
        <v>223</v>
      </c>
      <c r="C59" s="3" t="s">
        <v>160</v>
      </c>
      <c r="D59" s="3" t="s">
        <v>5</v>
      </c>
    </row>
    <row r="60" spans="1:11" ht="60">
      <c r="A60" s="1" t="s">
        <v>224</v>
      </c>
      <c r="B60" s="2" t="s">
        <v>225</v>
      </c>
      <c r="C60" s="3" t="s">
        <v>160</v>
      </c>
      <c r="D60" s="3" t="s">
        <v>90</v>
      </c>
    </row>
    <row r="61" spans="1:11" ht="30">
      <c r="A61" s="1" t="s">
        <v>22</v>
      </c>
      <c r="B61" s="2" t="s">
        <v>23</v>
      </c>
      <c r="C61" s="3" t="s">
        <v>160</v>
      </c>
      <c r="D61" s="3" t="s">
        <v>90</v>
      </c>
    </row>
    <row r="62" spans="1:11" ht="30">
      <c r="A62" s="1" t="s">
        <v>226</v>
      </c>
      <c r="B62" s="2" t="s">
        <v>227</v>
      </c>
      <c r="C62" s="3" t="s">
        <v>160</v>
      </c>
      <c r="D62" s="3" t="s">
        <v>90</v>
      </c>
    </row>
    <row r="64" spans="1:11" ht="26" customHeight="1">
      <c r="A64" s="88" t="s">
        <v>228</v>
      </c>
      <c r="B64" s="83"/>
      <c r="C64" s="83"/>
      <c r="D64" s="83"/>
      <c r="E64" s="83"/>
      <c r="F64" s="83"/>
      <c r="G64" s="83"/>
      <c r="H64" s="83"/>
      <c r="I64" s="83"/>
      <c r="J64" s="83"/>
      <c r="K64" s="83"/>
    </row>
    <row r="65" spans="1:11" ht="30" customHeight="1">
      <c r="A65" s="4" t="s">
        <v>229</v>
      </c>
      <c r="B65" s="4" t="s">
        <v>230</v>
      </c>
      <c r="C65" s="4" t="s">
        <v>231</v>
      </c>
      <c r="D65" s="4" t="s">
        <v>232</v>
      </c>
      <c r="E65" s="4" t="s">
        <v>233</v>
      </c>
      <c r="F65" s="4" t="s">
        <v>234</v>
      </c>
      <c r="G65" s="4" t="s">
        <v>235</v>
      </c>
      <c r="H65" s="4" t="s">
        <v>236</v>
      </c>
      <c r="I65" s="4" t="s">
        <v>237</v>
      </c>
      <c r="J65" s="4" t="s">
        <v>238</v>
      </c>
      <c r="K65" s="4" t="s">
        <v>239</v>
      </c>
    </row>
    <row r="66" spans="1:11" ht="15">
      <c r="A66" s="2" t="s">
        <v>240</v>
      </c>
      <c r="B66" s="10">
        <v>1100</v>
      </c>
      <c r="C66" s="10">
        <v>845</v>
      </c>
      <c r="D66" s="10">
        <v>1100</v>
      </c>
      <c r="E66" s="10">
        <v>800.08</v>
      </c>
      <c r="F66" s="8">
        <v>256579</v>
      </c>
      <c r="G66" s="8">
        <v>23159535334</v>
      </c>
      <c r="H66" s="9">
        <v>1.9888999999999999</v>
      </c>
      <c r="I66" s="9">
        <v>4.6033999999999997</v>
      </c>
      <c r="J66" s="7">
        <v>694.2</v>
      </c>
      <c r="K66" s="9">
        <v>0.8528</v>
      </c>
    </row>
    <row r="67" spans="1:11" ht="15">
      <c r="A67" s="2" t="s">
        <v>241</v>
      </c>
      <c r="B67" s="10">
        <v>790</v>
      </c>
      <c r="C67" s="10">
        <v>687</v>
      </c>
      <c r="D67" s="10">
        <v>790</v>
      </c>
      <c r="E67" s="10">
        <v>685.01</v>
      </c>
      <c r="F67" s="8">
        <v>126295</v>
      </c>
      <c r="G67" s="8">
        <v>9071869080</v>
      </c>
      <c r="H67" s="9">
        <v>0.1242</v>
      </c>
      <c r="I67" s="9">
        <v>-0.187</v>
      </c>
      <c r="J67" s="7">
        <v>-158</v>
      </c>
      <c r="K67" s="9">
        <v>0.41980000000000001</v>
      </c>
    </row>
    <row r="68" spans="1:11" ht="15">
      <c r="A68" s="2" t="s">
        <v>242</v>
      </c>
      <c r="B68" s="10">
        <v>659</v>
      </c>
      <c r="C68" s="10">
        <v>672.41</v>
      </c>
      <c r="D68" s="10">
        <v>706.98</v>
      </c>
      <c r="E68" s="10">
        <v>636</v>
      </c>
      <c r="F68" s="8">
        <v>76057</v>
      </c>
      <c r="G68" s="8">
        <v>5138831982</v>
      </c>
      <c r="H68" s="9">
        <v>0.1033</v>
      </c>
      <c r="I68" s="9">
        <v>-2.12E-2</v>
      </c>
      <c r="J68" s="7">
        <v>-14.59</v>
      </c>
      <c r="K68" s="9">
        <v>0.25280000000000002</v>
      </c>
    </row>
    <row r="69" spans="1:11" ht="15">
      <c r="A69" s="2" t="s">
        <v>243</v>
      </c>
      <c r="B69" s="10">
        <v>640.26</v>
      </c>
      <c r="C69" s="10">
        <v>603.08000000000004</v>
      </c>
      <c r="D69" s="10">
        <v>642</v>
      </c>
      <c r="E69" s="10">
        <v>602.04999999999995</v>
      </c>
      <c r="F69" s="8">
        <v>81289</v>
      </c>
      <c r="G69" s="8">
        <v>5015549853</v>
      </c>
      <c r="H69" s="9">
        <v>5.9400000000000001E-2</v>
      </c>
      <c r="I69" s="9">
        <v>-0.1031</v>
      </c>
      <c r="J69" s="7">
        <v>-69.33</v>
      </c>
      <c r="K69" s="9">
        <v>0.2702</v>
      </c>
    </row>
    <row r="70" spans="1:11" ht="15">
      <c r="A70" s="2" t="s">
        <v>244</v>
      </c>
      <c r="B70" s="10">
        <v>588</v>
      </c>
      <c r="C70" s="10">
        <v>602.79999999999995</v>
      </c>
      <c r="D70" s="10">
        <v>625.89</v>
      </c>
      <c r="E70" s="10">
        <v>588</v>
      </c>
      <c r="F70" s="8">
        <v>53215</v>
      </c>
      <c r="G70" s="8">
        <v>3244776858</v>
      </c>
      <c r="H70" s="9">
        <v>6.2799999999999995E-2</v>
      </c>
      <c r="I70" s="9">
        <v>-5.0000000000000001E-4</v>
      </c>
      <c r="J70" s="7">
        <v>-0.28000000000000003</v>
      </c>
      <c r="K70" s="9">
        <v>0.1769</v>
      </c>
    </row>
    <row r="71" spans="1:11" ht="15">
      <c r="A71" s="2" t="s">
        <v>245</v>
      </c>
      <c r="B71" s="10">
        <v>598</v>
      </c>
      <c r="C71" s="10">
        <v>591.53</v>
      </c>
      <c r="D71" s="10">
        <v>614.44000000000005</v>
      </c>
      <c r="E71" s="10">
        <v>571</v>
      </c>
      <c r="F71" s="8">
        <v>55830</v>
      </c>
      <c r="G71" s="8">
        <v>3324850833</v>
      </c>
      <c r="H71" s="9">
        <v>7.2099999999999997E-2</v>
      </c>
      <c r="I71" s="9">
        <v>-1.8700000000000001E-2</v>
      </c>
      <c r="J71" s="7">
        <v>-11.27</v>
      </c>
      <c r="K71" s="9">
        <v>0.18559999999999999</v>
      </c>
    </row>
    <row r="72" spans="1:11" ht="15">
      <c r="A72" s="2" t="s">
        <v>246</v>
      </c>
      <c r="B72" s="10">
        <v>588</v>
      </c>
      <c r="C72" s="10">
        <v>615.03</v>
      </c>
      <c r="D72" s="10">
        <v>615.04999999999995</v>
      </c>
      <c r="E72" s="10">
        <v>582</v>
      </c>
      <c r="F72" s="8">
        <v>63398</v>
      </c>
      <c r="G72" s="8">
        <v>3795447912</v>
      </c>
      <c r="H72" s="9">
        <v>5.5899999999999998E-2</v>
      </c>
      <c r="I72" s="9">
        <v>3.9699999999999999E-2</v>
      </c>
      <c r="J72" s="7">
        <v>23.5</v>
      </c>
      <c r="K72" s="9">
        <v>0.2107</v>
      </c>
    </row>
    <row r="73" spans="1:11" ht="15">
      <c r="A73" s="2" t="s">
        <v>139</v>
      </c>
      <c r="B73" s="10">
        <v>605</v>
      </c>
      <c r="C73" s="10">
        <v>585</v>
      </c>
      <c r="D73" s="10">
        <v>605</v>
      </c>
      <c r="E73" s="10">
        <v>584.88</v>
      </c>
      <c r="F73" s="8">
        <v>56748</v>
      </c>
      <c r="G73" s="8">
        <v>3362608198</v>
      </c>
      <c r="H73" s="9">
        <v>3.27E-2</v>
      </c>
      <c r="I73" s="9">
        <v>-4.8800000000000003E-2</v>
      </c>
      <c r="J73" s="7">
        <v>-30.03</v>
      </c>
      <c r="K73" s="9">
        <v>0.18859999999999999</v>
      </c>
    </row>
    <row r="74" spans="1:11" ht="15" customHeight="1">
      <c r="A74" s="87" t="s">
        <v>247</v>
      </c>
      <c r="B74" s="83"/>
      <c r="C74" s="83"/>
      <c r="D74" s="83"/>
      <c r="E74" s="83"/>
      <c r="F74" s="83"/>
      <c r="G74" s="83"/>
      <c r="H74" s="83"/>
      <c r="I74" s="83"/>
      <c r="J74" s="83"/>
      <c r="K74" s="83"/>
    </row>
  </sheetData>
  <mergeCells count="10">
    <mergeCell ref="A1:D1"/>
    <mergeCell ref="A74:K74"/>
    <mergeCell ref="A35:D35"/>
    <mergeCell ref="A64:K64"/>
    <mergeCell ref="A3:D3"/>
    <mergeCell ref="A55:D55"/>
    <mergeCell ref="A25:D25"/>
    <mergeCell ref="A51:D51"/>
    <mergeCell ref="A46:D46"/>
    <mergeCell ref="A14:D14"/>
  </mergeCells>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G115"/>
  <sheetViews>
    <sheetView showGridLines="0" tabSelected="1" workbookViewId="0">
      <selection activeCell="D5" sqref="D5"/>
    </sheetView>
  </sheetViews>
  <sheetFormatPr baseColWidth="10" defaultColWidth="8.83203125" defaultRowHeight="14"/>
  <cols>
    <col min="1" max="1" width="40" customWidth="1"/>
    <col min="2" max="2" width="10" customWidth="1"/>
    <col min="3" max="5" width="16" customWidth="1"/>
    <col min="6" max="6" width="10" customWidth="1"/>
    <col min="7" max="7" width="8" customWidth="1"/>
  </cols>
  <sheetData>
    <row r="1" spans="1:7" ht="26" customHeight="1">
      <c r="A1" s="82" t="s">
        <v>248</v>
      </c>
      <c r="B1" s="83"/>
      <c r="C1" s="83"/>
      <c r="D1" s="83"/>
      <c r="E1" s="83"/>
      <c r="F1" s="83"/>
      <c r="G1" s="83"/>
    </row>
    <row r="2" spans="1:7" ht="15" customHeight="1">
      <c r="A2" s="87" t="s">
        <v>249</v>
      </c>
      <c r="B2" s="83"/>
      <c r="C2" s="83"/>
      <c r="D2" s="83"/>
      <c r="E2" s="83"/>
      <c r="F2" s="83"/>
      <c r="G2" s="83"/>
    </row>
    <row r="3" spans="1:7" ht="30" customHeight="1">
      <c r="A3" s="4" t="s">
        <v>154</v>
      </c>
      <c r="B3" s="4" t="s">
        <v>250</v>
      </c>
      <c r="C3" s="4" t="s">
        <v>251</v>
      </c>
      <c r="D3" s="4" t="s">
        <v>252</v>
      </c>
      <c r="E3" s="4" t="s">
        <v>253</v>
      </c>
      <c r="F3" s="4" t="s">
        <v>156</v>
      </c>
      <c r="G3" s="4" t="s">
        <v>157</v>
      </c>
    </row>
    <row r="4" spans="1:7" ht="20" customHeight="1">
      <c r="A4" s="84" t="s">
        <v>254</v>
      </c>
      <c r="B4" s="83"/>
      <c r="C4" s="83"/>
      <c r="D4" s="83"/>
      <c r="E4" s="83"/>
      <c r="F4" s="83"/>
      <c r="G4" s="83"/>
    </row>
    <row r="5" spans="1:7" ht="15">
      <c r="A5" s="2" t="s">
        <v>255</v>
      </c>
      <c r="B5" s="11" t="s">
        <v>256</v>
      </c>
      <c r="C5" s="7">
        <v>15913.44</v>
      </c>
      <c r="D5" s="7">
        <v>78554.14</v>
      </c>
      <c r="E5" s="7">
        <v>169926.93</v>
      </c>
      <c r="F5" s="11" t="s">
        <v>160</v>
      </c>
      <c r="G5" s="11" t="s">
        <v>90</v>
      </c>
    </row>
    <row r="6" spans="1:7" ht="15">
      <c r="A6" s="2" t="s">
        <v>257</v>
      </c>
      <c r="B6" s="11" t="s">
        <v>256</v>
      </c>
      <c r="C6" s="7">
        <v>15753.65</v>
      </c>
      <c r="D6" s="7">
        <v>38767.279999999999</v>
      </c>
      <c r="E6" s="7">
        <v>167611.09</v>
      </c>
      <c r="F6" s="11" t="s">
        <v>160</v>
      </c>
      <c r="G6" s="11" t="s">
        <v>90</v>
      </c>
    </row>
    <row r="7" spans="1:7" ht="15">
      <c r="A7" s="2" t="s">
        <v>258</v>
      </c>
      <c r="B7" s="11" t="s">
        <v>256</v>
      </c>
      <c r="C7" s="7">
        <v>159.79</v>
      </c>
      <c r="D7" s="7">
        <v>509.78</v>
      </c>
      <c r="E7" s="7">
        <v>2315.84</v>
      </c>
      <c r="F7" s="11" t="s">
        <v>160</v>
      </c>
      <c r="G7" s="11" t="s">
        <v>90</v>
      </c>
    </row>
    <row r="8" spans="1:7" ht="15">
      <c r="A8" s="2" t="s">
        <v>259</v>
      </c>
      <c r="B8" s="11" t="s">
        <v>256</v>
      </c>
      <c r="C8" s="7">
        <v>8791.85</v>
      </c>
      <c r="D8" s="7">
        <v>16804.41</v>
      </c>
      <c r="E8" s="7">
        <v>67226.100000000006</v>
      </c>
      <c r="F8" s="11" t="s">
        <v>160</v>
      </c>
      <c r="G8" s="11" t="s">
        <v>90</v>
      </c>
    </row>
    <row r="9" spans="1:7" ht="15">
      <c r="A9" s="2" t="s">
        <v>260</v>
      </c>
      <c r="B9" s="11" t="s">
        <v>256</v>
      </c>
      <c r="C9" s="7">
        <v>8787.9</v>
      </c>
      <c r="D9" s="7">
        <v>16770.669999999998</v>
      </c>
      <c r="E9" s="7">
        <v>66826.03</v>
      </c>
      <c r="F9" s="11" t="s">
        <v>160</v>
      </c>
      <c r="G9" s="11" t="s">
        <v>90</v>
      </c>
    </row>
    <row r="10" spans="1:7" ht="15">
      <c r="A10" s="2" t="s">
        <v>261</v>
      </c>
      <c r="B10" s="11" t="s">
        <v>256</v>
      </c>
      <c r="C10" s="7">
        <v>3.95</v>
      </c>
      <c r="D10" s="7">
        <v>33.74</v>
      </c>
      <c r="E10" s="7">
        <v>400.08</v>
      </c>
      <c r="F10" s="11" t="s">
        <v>160</v>
      </c>
      <c r="G10" s="11" t="s">
        <v>90</v>
      </c>
    </row>
    <row r="11" spans="1:7" ht="15">
      <c r="A11" s="2" t="s">
        <v>262</v>
      </c>
      <c r="B11" s="11" t="s">
        <v>256</v>
      </c>
      <c r="C11" s="7">
        <v>6965.75</v>
      </c>
      <c r="D11" s="7">
        <v>21996.62</v>
      </c>
      <c r="E11" s="7">
        <v>100785.07</v>
      </c>
      <c r="F11" s="11" t="s">
        <v>160</v>
      </c>
      <c r="G11" s="11" t="s">
        <v>90</v>
      </c>
    </row>
    <row r="12" spans="1:7" ht="20" customHeight="1">
      <c r="A12" s="84" t="s">
        <v>263</v>
      </c>
      <c r="B12" s="83"/>
      <c r="C12" s="83"/>
      <c r="D12" s="83"/>
      <c r="E12" s="83"/>
      <c r="F12" s="83"/>
      <c r="G12" s="83"/>
    </row>
    <row r="13" spans="1:7" ht="15">
      <c r="A13" s="2" t="s">
        <v>264</v>
      </c>
      <c r="B13" s="11" t="s">
        <v>256</v>
      </c>
      <c r="C13" s="7">
        <v>3771.83</v>
      </c>
      <c r="D13" s="7">
        <v>5915.85</v>
      </c>
      <c r="E13" s="7">
        <v>14120.32</v>
      </c>
      <c r="F13" s="11" t="s">
        <v>160</v>
      </c>
      <c r="G13" s="11" t="s">
        <v>90</v>
      </c>
    </row>
    <row r="14" spans="1:7" ht="15">
      <c r="A14" s="2" t="s">
        <v>265</v>
      </c>
      <c r="B14" s="11" t="s">
        <v>256</v>
      </c>
      <c r="C14" s="7">
        <v>1332.8</v>
      </c>
      <c r="D14" s="7">
        <v>2500.52</v>
      </c>
      <c r="E14" s="7">
        <v>39959.61</v>
      </c>
      <c r="F14" s="11" t="s">
        <v>160</v>
      </c>
      <c r="G14" s="11" t="s">
        <v>90</v>
      </c>
    </row>
    <row r="15" spans="1:7" ht="15">
      <c r="A15" s="2" t="s">
        <v>266</v>
      </c>
      <c r="B15" s="11" t="s">
        <v>256</v>
      </c>
      <c r="C15" s="7">
        <v>4995.18</v>
      </c>
      <c r="D15" s="7">
        <v>7001.7</v>
      </c>
      <c r="E15" s="7">
        <v>14496.56</v>
      </c>
      <c r="F15" s="11" t="s">
        <v>160</v>
      </c>
      <c r="G15" s="11" t="s">
        <v>90</v>
      </c>
    </row>
    <row r="16" spans="1:7" ht="15">
      <c r="A16" s="2" t="s">
        <v>267</v>
      </c>
      <c r="B16" s="11" t="s">
        <v>256</v>
      </c>
      <c r="C16" s="7">
        <v>-732.47</v>
      </c>
      <c r="D16" s="7">
        <v>-1718.64</v>
      </c>
      <c r="E16" s="7">
        <v>98.61</v>
      </c>
      <c r="F16" s="11" t="s">
        <v>160</v>
      </c>
      <c r="G16" s="11" t="s">
        <v>90</v>
      </c>
    </row>
    <row r="17" spans="1:7" ht="15">
      <c r="A17" s="2" t="s">
        <v>268</v>
      </c>
      <c r="B17" s="11" t="s">
        <v>256</v>
      </c>
      <c r="C17" s="7">
        <v>9367.33</v>
      </c>
      <c r="D17" s="7">
        <v>13699.43</v>
      </c>
      <c r="E17" s="7">
        <v>68675.11</v>
      </c>
      <c r="F17" s="11" t="s">
        <v>160</v>
      </c>
      <c r="G17" s="11" t="s">
        <v>90</v>
      </c>
    </row>
    <row r="18" spans="1:7" ht="20" customHeight="1">
      <c r="A18" s="84" t="s">
        <v>269</v>
      </c>
      <c r="B18" s="83"/>
      <c r="C18" s="83"/>
      <c r="D18" s="83"/>
      <c r="E18" s="83"/>
      <c r="F18" s="83"/>
      <c r="G18" s="83"/>
    </row>
    <row r="19" spans="1:7" ht="15">
      <c r="A19" s="2" t="s">
        <v>270</v>
      </c>
      <c r="B19" s="11" t="s">
        <v>256</v>
      </c>
      <c r="C19" s="7">
        <v>154.4</v>
      </c>
      <c r="D19" s="7">
        <v>927.46</v>
      </c>
      <c r="E19" s="7">
        <v>2301.09</v>
      </c>
      <c r="F19" s="11" t="s">
        <v>160</v>
      </c>
      <c r="G19" s="11" t="s">
        <v>90</v>
      </c>
    </row>
    <row r="20" spans="1:7" ht="15">
      <c r="A20" s="2" t="s">
        <v>271</v>
      </c>
      <c r="B20" s="11" t="s">
        <v>256</v>
      </c>
      <c r="C20" s="7">
        <v>34.92</v>
      </c>
      <c r="D20" s="7">
        <v>457.3</v>
      </c>
      <c r="E20" s="7">
        <v>948.57</v>
      </c>
      <c r="F20" s="11" t="s">
        <v>160</v>
      </c>
      <c r="G20" s="11" t="s">
        <v>90</v>
      </c>
    </row>
    <row r="21" spans="1:7" ht="15">
      <c r="A21" s="2" t="s">
        <v>272</v>
      </c>
      <c r="B21" s="11" t="s">
        <v>256</v>
      </c>
      <c r="C21" s="7">
        <v>119.48</v>
      </c>
      <c r="D21" s="7">
        <v>470.16</v>
      </c>
      <c r="E21" s="7">
        <v>1368.93</v>
      </c>
      <c r="F21" s="11" t="s">
        <v>160</v>
      </c>
      <c r="G21" s="11" t="s">
        <v>90</v>
      </c>
    </row>
    <row r="22" spans="1:7" ht="15">
      <c r="A22" s="2" t="s">
        <v>273</v>
      </c>
      <c r="B22" s="11" t="s">
        <v>256</v>
      </c>
      <c r="C22" s="7">
        <v>-5.66</v>
      </c>
      <c r="D22" s="7">
        <v>95.42</v>
      </c>
      <c r="E22" s="7">
        <v>91.29</v>
      </c>
      <c r="F22" s="11" t="s">
        <v>160</v>
      </c>
      <c r="G22" s="11" t="s">
        <v>90</v>
      </c>
    </row>
    <row r="23" spans="1:7" ht="15">
      <c r="A23" s="2" t="s">
        <v>274</v>
      </c>
      <c r="B23" s="11" t="s">
        <v>256</v>
      </c>
      <c r="C23" s="7">
        <v>-61.82</v>
      </c>
      <c r="D23" s="7">
        <v>-115.59</v>
      </c>
      <c r="E23" s="7">
        <v>-256.52</v>
      </c>
      <c r="F23" s="11" t="s">
        <v>160</v>
      </c>
      <c r="G23" s="11" t="s">
        <v>90</v>
      </c>
    </row>
    <row r="24" spans="1:7" ht="15">
      <c r="A24" s="2" t="s">
        <v>275</v>
      </c>
      <c r="B24" s="11" t="s">
        <v>256</v>
      </c>
      <c r="C24" s="7">
        <v>-840.56</v>
      </c>
      <c r="D24" s="7">
        <v>-1037.8499999999999</v>
      </c>
      <c r="E24" s="7">
        <v>-1598.06</v>
      </c>
      <c r="F24" s="11" t="s">
        <v>160</v>
      </c>
      <c r="G24" s="11" t="s">
        <v>90</v>
      </c>
    </row>
    <row r="25" spans="1:7" ht="15">
      <c r="A25" s="2" t="s">
        <v>276</v>
      </c>
      <c r="B25" s="11" t="s">
        <v>256</v>
      </c>
      <c r="C25" s="7">
        <v>6.08</v>
      </c>
      <c r="D25" s="7">
        <v>7.02</v>
      </c>
      <c r="E25" s="7">
        <v>130.91999999999999</v>
      </c>
      <c r="F25" s="11" t="s">
        <v>160</v>
      </c>
      <c r="G25" s="11" t="s">
        <v>90</v>
      </c>
    </row>
    <row r="26" spans="1:7" ht="15">
      <c r="A26" s="2" t="s">
        <v>277</v>
      </c>
      <c r="B26" s="11" t="s">
        <v>256</v>
      </c>
      <c r="C26" s="7">
        <v>10.26</v>
      </c>
      <c r="D26" s="7">
        <v>15.49</v>
      </c>
      <c r="E26" s="7">
        <v>56.36</v>
      </c>
      <c r="F26" s="11" t="s">
        <v>160</v>
      </c>
      <c r="G26" s="11" t="s">
        <v>90</v>
      </c>
    </row>
    <row r="27" spans="1:7" ht="20" customHeight="1">
      <c r="A27" s="84" t="s">
        <v>278</v>
      </c>
      <c r="B27" s="83"/>
      <c r="C27" s="83"/>
      <c r="D27" s="83"/>
      <c r="E27" s="83"/>
      <c r="F27" s="83"/>
      <c r="G27" s="83"/>
    </row>
    <row r="28" spans="1:7" ht="15">
      <c r="A28" s="2" t="s">
        <v>279</v>
      </c>
      <c r="B28" s="11" t="s">
        <v>256</v>
      </c>
      <c r="C28" s="7">
        <v>-2136.69</v>
      </c>
      <c r="D28" s="7">
        <v>10070.25</v>
      </c>
      <c r="E28" s="7">
        <v>36771.35</v>
      </c>
      <c r="F28" s="11" t="s">
        <v>160</v>
      </c>
      <c r="G28" s="11" t="s">
        <v>90</v>
      </c>
    </row>
    <row r="29" spans="1:7" ht="15">
      <c r="A29" s="2" t="s">
        <v>280</v>
      </c>
      <c r="B29" s="11" t="s">
        <v>256</v>
      </c>
      <c r="C29" s="7">
        <v>-2140.87</v>
      </c>
      <c r="D29" s="7">
        <v>10061.780000000001</v>
      </c>
      <c r="E29" s="7">
        <v>36845.9</v>
      </c>
      <c r="F29" s="11" t="s">
        <v>160</v>
      </c>
      <c r="G29" s="11" t="s">
        <v>90</v>
      </c>
    </row>
    <row r="30" spans="1:7" ht="15">
      <c r="A30" s="2" t="s">
        <v>281</v>
      </c>
      <c r="B30" s="11" t="s">
        <v>256</v>
      </c>
      <c r="C30" s="7">
        <v>-1114.51</v>
      </c>
      <c r="D30" s="7">
        <v>9547.4699999999993</v>
      </c>
      <c r="E30" s="7">
        <v>27821.05</v>
      </c>
      <c r="F30" s="11" t="s">
        <v>160</v>
      </c>
      <c r="G30" s="11" t="s">
        <v>90</v>
      </c>
    </row>
    <row r="31" spans="1:7" ht="15">
      <c r="A31" s="2" t="s">
        <v>282</v>
      </c>
      <c r="B31" s="11" t="s">
        <v>256</v>
      </c>
      <c r="C31" s="7">
        <v>-1114.51</v>
      </c>
      <c r="D31" s="7">
        <v>9547.4699999999993</v>
      </c>
      <c r="E31" s="7">
        <v>27821.05</v>
      </c>
      <c r="F31" s="11" t="s">
        <v>160</v>
      </c>
      <c r="G31" s="11" t="s">
        <v>90</v>
      </c>
    </row>
    <row r="32" spans="1:7" ht="15">
      <c r="A32" s="2" t="s">
        <v>283</v>
      </c>
      <c r="B32" s="11" t="s">
        <v>256</v>
      </c>
      <c r="C32" s="7">
        <v>-1801.91</v>
      </c>
      <c r="D32" s="7">
        <v>7847.65</v>
      </c>
      <c r="E32" s="7">
        <v>59075.28</v>
      </c>
      <c r="F32" s="11" t="s">
        <v>160</v>
      </c>
      <c r="G32" s="11" t="s">
        <v>90</v>
      </c>
    </row>
    <row r="33" spans="1:7" ht="20" customHeight="1">
      <c r="A33" s="84" t="s">
        <v>284</v>
      </c>
      <c r="B33" s="83"/>
      <c r="C33" s="83"/>
      <c r="D33" s="83"/>
      <c r="E33" s="83"/>
      <c r="F33" s="83"/>
      <c r="G33" s="83"/>
    </row>
    <row r="34" spans="1:7" ht="30">
      <c r="A34" s="1" t="s">
        <v>285</v>
      </c>
      <c r="B34" s="11" t="s">
        <v>256</v>
      </c>
      <c r="C34" s="12"/>
      <c r="D34" s="12"/>
      <c r="E34" s="7">
        <v>34906.550000000003</v>
      </c>
      <c r="F34" s="11" t="s">
        <v>160</v>
      </c>
      <c r="G34" s="11" t="s">
        <v>90</v>
      </c>
    </row>
    <row r="35" spans="1:7" ht="15">
      <c r="A35" s="2" t="s">
        <v>286</v>
      </c>
      <c r="B35" s="11" t="s">
        <v>256</v>
      </c>
      <c r="C35" s="12"/>
      <c r="D35" s="12"/>
      <c r="E35" s="7">
        <v>1872.26</v>
      </c>
      <c r="F35" s="11" t="s">
        <v>160</v>
      </c>
      <c r="G35" s="11" t="s">
        <v>90</v>
      </c>
    </row>
    <row r="36" spans="1:7" ht="20" customHeight="1">
      <c r="A36" s="84" t="s">
        <v>287</v>
      </c>
      <c r="B36" s="83"/>
      <c r="C36" s="83"/>
      <c r="D36" s="83"/>
      <c r="E36" s="83"/>
      <c r="F36" s="83"/>
      <c r="G36" s="83"/>
    </row>
    <row r="37" spans="1:7" ht="15">
      <c r="A37" s="2" t="s">
        <v>288</v>
      </c>
      <c r="B37" s="11" t="s">
        <v>256</v>
      </c>
      <c r="C37" s="7">
        <v>494.25</v>
      </c>
      <c r="D37" s="7">
        <v>19239.13</v>
      </c>
      <c r="E37" s="7">
        <v>66998.179999999993</v>
      </c>
      <c r="F37" s="11" t="s">
        <v>160</v>
      </c>
      <c r="G37" s="11" t="s">
        <v>90</v>
      </c>
    </row>
    <row r="38" spans="1:7" ht="20" customHeight="1">
      <c r="A38" s="84" t="s">
        <v>289</v>
      </c>
      <c r="B38" s="83"/>
      <c r="C38" s="83"/>
      <c r="D38" s="83"/>
      <c r="E38" s="83"/>
      <c r="F38" s="83"/>
      <c r="G38" s="83"/>
    </row>
    <row r="39" spans="1:7" ht="15">
      <c r="A39" s="2" t="s">
        <v>290</v>
      </c>
      <c r="B39" s="11" t="s">
        <v>256</v>
      </c>
      <c r="C39" s="7">
        <v>39127.15</v>
      </c>
      <c r="D39" s="7">
        <v>152786.94</v>
      </c>
      <c r="E39" s="7">
        <v>320853.83</v>
      </c>
      <c r="F39" s="11" t="s">
        <v>160</v>
      </c>
      <c r="G39" s="11" t="s">
        <v>90</v>
      </c>
    </row>
    <row r="40" spans="1:7" ht="15">
      <c r="A40" s="2" t="s">
        <v>291</v>
      </c>
      <c r="B40" s="11" t="s">
        <v>256</v>
      </c>
      <c r="C40" s="7">
        <v>32630.22</v>
      </c>
      <c r="D40" s="7">
        <v>127089.87</v>
      </c>
      <c r="E40" s="7">
        <v>221966.64</v>
      </c>
      <c r="F40" s="11" t="s">
        <v>160</v>
      </c>
      <c r="G40" s="11" t="s">
        <v>90</v>
      </c>
    </row>
    <row r="41" spans="1:7" ht="15">
      <c r="A41" s="2" t="s">
        <v>292</v>
      </c>
      <c r="B41" s="11" t="s">
        <v>256</v>
      </c>
      <c r="C41" s="7">
        <v>6496.93</v>
      </c>
      <c r="D41" s="7">
        <v>25697.07</v>
      </c>
      <c r="E41" s="7">
        <v>98887.2</v>
      </c>
      <c r="F41" s="11" t="s">
        <v>160</v>
      </c>
      <c r="G41" s="11" t="s">
        <v>90</v>
      </c>
    </row>
    <row r="42" spans="1:7" ht="15">
      <c r="A42" s="2" t="s">
        <v>293</v>
      </c>
      <c r="B42" s="11" t="s">
        <v>256</v>
      </c>
      <c r="C42" s="7">
        <v>29904.49</v>
      </c>
      <c r="D42" s="7">
        <v>128054.9</v>
      </c>
      <c r="E42" s="7">
        <v>260465.85</v>
      </c>
      <c r="F42" s="11" t="s">
        <v>160</v>
      </c>
      <c r="G42" s="11" t="s">
        <v>90</v>
      </c>
    </row>
    <row r="43" spans="1:7" ht="15">
      <c r="A43" s="2" t="s">
        <v>294</v>
      </c>
      <c r="B43" s="11" t="s">
        <v>256</v>
      </c>
      <c r="C43" s="7">
        <v>358.35</v>
      </c>
      <c r="D43" s="7">
        <v>830.78</v>
      </c>
      <c r="E43" s="7">
        <v>3015.5</v>
      </c>
      <c r="F43" s="11" t="s">
        <v>160</v>
      </c>
      <c r="G43" s="11" t="s">
        <v>90</v>
      </c>
    </row>
    <row r="44" spans="1:7" ht="15">
      <c r="A44" s="2" t="s">
        <v>295</v>
      </c>
      <c r="B44" s="11" t="s">
        <v>256</v>
      </c>
      <c r="C44" s="12"/>
      <c r="D44" s="12"/>
      <c r="E44" s="7">
        <v>36775.339999999997</v>
      </c>
      <c r="F44" s="11" t="s">
        <v>160</v>
      </c>
      <c r="G44" s="11" t="s">
        <v>90</v>
      </c>
    </row>
    <row r="45" spans="1:7" ht="15">
      <c r="A45" s="2" t="s">
        <v>296</v>
      </c>
      <c r="B45" s="11" t="s">
        <v>256</v>
      </c>
      <c r="C45" s="12"/>
      <c r="D45" s="12"/>
      <c r="E45" s="7">
        <v>2457.37</v>
      </c>
      <c r="F45" s="11" t="s">
        <v>160</v>
      </c>
      <c r="G45" s="11" t="s">
        <v>90</v>
      </c>
    </row>
    <row r="46" spans="1:7" ht="15">
      <c r="A46" s="2" t="s">
        <v>297</v>
      </c>
      <c r="B46" s="11" t="s">
        <v>256</v>
      </c>
      <c r="C46" s="12"/>
      <c r="D46" s="12"/>
      <c r="E46" s="12"/>
      <c r="F46" s="11" t="s">
        <v>160</v>
      </c>
      <c r="G46" s="11" t="s">
        <v>90</v>
      </c>
    </row>
    <row r="47" spans="1:7" ht="20" customHeight="1">
      <c r="A47" s="84" t="s">
        <v>298</v>
      </c>
      <c r="B47" s="83"/>
      <c r="C47" s="83"/>
      <c r="D47" s="83"/>
      <c r="E47" s="83"/>
      <c r="F47" s="83"/>
      <c r="G47" s="83"/>
    </row>
    <row r="48" spans="1:7" ht="15">
      <c r="A48" s="2" t="s">
        <v>299</v>
      </c>
      <c r="B48" s="11" t="s">
        <v>300</v>
      </c>
      <c r="C48" s="9">
        <v>0.23569999999999999</v>
      </c>
      <c r="D48" s="9">
        <v>0.16189999999999999</v>
      </c>
      <c r="E48" s="9">
        <v>0.18820000000000001</v>
      </c>
      <c r="F48" s="11" t="s">
        <v>160</v>
      </c>
      <c r="G48" s="11" t="s">
        <v>90</v>
      </c>
    </row>
    <row r="49" spans="1:7" ht="15">
      <c r="A49" s="2" t="s">
        <v>301</v>
      </c>
      <c r="B49" s="11" t="s">
        <v>300</v>
      </c>
      <c r="C49" s="9">
        <v>0.23569999999999999</v>
      </c>
      <c r="D49" s="9">
        <v>0.16189999999999999</v>
      </c>
      <c r="E49" s="9">
        <v>0.18559999999999999</v>
      </c>
      <c r="F49" s="11" t="s">
        <v>160</v>
      </c>
      <c r="G49" s="11" t="s">
        <v>90</v>
      </c>
    </row>
    <row r="50" spans="1:7" ht="15">
      <c r="A50" s="2" t="s">
        <v>302</v>
      </c>
      <c r="B50" s="11" t="s">
        <v>300</v>
      </c>
      <c r="C50" s="9">
        <v>0.44219999999999998</v>
      </c>
      <c r="D50" s="9">
        <v>0.56740000000000002</v>
      </c>
      <c r="E50" s="9">
        <v>0.60129999999999995</v>
      </c>
      <c r="F50" s="11" t="s">
        <v>160</v>
      </c>
      <c r="G50" s="11" t="s">
        <v>90</v>
      </c>
    </row>
    <row r="51" spans="1:7" ht="15">
      <c r="A51" s="2" t="s">
        <v>303</v>
      </c>
      <c r="B51" s="11" t="s">
        <v>300</v>
      </c>
      <c r="C51" s="9">
        <v>0.44750000000000001</v>
      </c>
      <c r="D51" s="9">
        <v>0.57220000000000004</v>
      </c>
      <c r="E51" s="9">
        <v>0.60440000000000005</v>
      </c>
      <c r="F51" s="11" t="s">
        <v>160</v>
      </c>
      <c r="G51" s="11" t="s">
        <v>90</v>
      </c>
    </row>
    <row r="52" spans="1:7" ht="15">
      <c r="A52" s="2" t="s">
        <v>304</v>
      </c>
      <c r="B52" s="11" t="s">
        <v>300</v>
      </c>
      <c r="C52" s="9">
        <v>-3.6600000000000001E-2</v>
      </c>
      <c r="D52" s="9">
        <v>0.1046</v>
      </c>
      <c r="E52" s="9">
        <v>0.13519999999999999</v>
      </c>
      <c r="F52" s="11" t="s">
        <v>160</v>
      </c>
      <c r="G52" s="11" t="s">
        <v>90</v>
      </c>
    </row>
    <row r="53" spans="1:7" ht="15">
      <c r="A53" s="2" t="s">
        <v>305</v>
      </c>
      <c r="B53" s="11" t="s">
        <v>300</v>
      </c>
      <c r="C53" s="9">
        <v>-5.9200000000000003E-2</v>
      </c>
      <c r="D53" s="9">
        <v>8.5999999999999993E-2</v>
      </c>
      <c r="E53" s="9">
        <v>0.28699999999999998</v>
      </c>
      <c r="F53" s="11" t="s">
        <v>160</v>
      </c>
      <c r="G53" s="11" t="s">
        <v>90</v>
      </c>
    </row>
    <row r="54" spans="1:7" ht="15">
      <c r="A54" s="2" t="s">
        <v>306</v>
      </c>
      <c r="B54" s="11" t="s">
        <v>300</v>
      </c>
      <c r="C54" s="9">
        <v>0.31390000000000001</v>
      </c>
      <c r="D54" s="9">
        <v>0.17829999999999999</v>
      </c>
      <c r="E54" s="9">
        <v>8.5300000000000001E-2</v>
      </c>
      <c r="F54" s="11" t="s">
        <v>160</v>
      </c>
      <c r="G54" s="11" t="s">
        <v>90</v>
      </c>
    </row>
    <row r="55" spans="1:7" ht="15">
      <c r="A55" s="2" t="s">
        <v>307</v>
      </c>
      <c r="B55" s="11" t="s">
        <v>47</v>
      </c>
      <c r="C55" s="12"/>
      <c r="D55" s="12"/>
      <c r="E55" s="7">
        <v>0.76</v>
      </c>
      <c r="F55" s="11" t="s">
        <v>160</v>
      </c>
      <c r="G55" s="11" t="s">
        <v>90</v>
      </c>
    </row>
    <row r="56" spans="1:7" ht="15">
      <c r="A56" s="2" t="s">
        <v>308</v>
      </c>
      <c r="B56" s="11" t="s">
        <v>47</v>
      </c>
      <c r="C56" s="12"/>
      <c r="D56" s="12"/>
      <c r="E56" s="7">
        <v>0.76</v>
      </c>
      <c r="F56" s="11" t="s">
        <v>160</v>
      </c>
      <c r="G56" s="11" t="s">
        <v>90</v>
      </c>
    </row>
    <row r="57" spans="1:7" ht="15">
      <c r="A57" s="2" t="s">
        <v>309</v>
      </c>
      <c r="B57" s="11" t="s">
        <v>300</v>
      </c>
      <c r="C57" s="9">
        <v>6.13E-2</v>
      </c>
      <c r="D57" s="9">
        <v>6.5500000000000003E-2</v>
      </c>
      <c r="E57" s="9">
        <v>5.1299999999999998E-2</v>
      </c>
      <c r="F57" s="11" t="s">
        <v>160</v>
      </c>
      <c r="G57" s="11" t="s">
        <v>90</v>
      </c>
    </row>
    <row r="58" spans="1:7" ht="15">
      <c r="A58" s="2" t="s">
        <v>310</v>
      </c>
      <c r="B58" s="11" t="s">
        <v>300</v>
      </c>
      <c r="C58" s="9">
        <v>0.12189999999999999</v>
      </c>
      <c r="D58" s="9">
        <v>0.1381</v>
      </c>
      <c r="E58" s="9">
        <v>0.14069999999999999</v>
      </c>
      <c r="F58" s="11" t="s">
        <v>160</v>
      </c>
      <c r="G58" s="11" t="s">
        <v>90</v>
      </c>
    </row>
    <row r="59" spans="1:7" ht="20" customHeight="1">
      <c r="A59" s="84" t="s">
        <v>311</v>
      </c>
      <c r="B59" s="83"/>
      <c r="C59" s="83"/>
      <c r="D59" s="83"/>
      <c r="E59" s="83"/>
      <c r="F59" s="83"/>
      <c r="G59" s="83"/>
    </row>
    <row r="60" spans="1:7" ht="15">
      <c r="A60" s="2" t="s">
        <v>312</v>
      </c>
      <c r="B60" s="11" t="s">
        <v>313</v>
      </c>
      <c r="C60" s="13"/>
      <c r="D60" s="13"/>
      <c r="E60" s="8">
        <v>184</v>
      </c>
      <c r="F60" s="11" t="s">
        <v>160</v>
      </c>
      <c r="G60" s="11" t="s">
        <v>90</v>
      </c>
    </row>
    <row r="61" spans="1:7" ht="15">
      <c r="A61" s="2" t="s">
        <v>314</v>
      </c>
      <c r="B61" s="11" t="s">
        <v>313</v>
      </c>
      <c r="C61" s="13"/>
      <c r="D61" s="13"/>
      <c r="E61" s="8">
        <v>516</v>
      </c>
      <c r="F61" s="11" t="s">
        <v>160</v>
      </c>
      <c r="G61" s="11" t="s">
        <v>90</v>
      </c>
    </row>
    <row r="62" spans="1:7" ht="15">
      <c r="A62" s="2" t="s">
        <v>315</v>
      </c>
      <c r="B62" s="11" t="s">
        <v>300</v>
      </c>
      <c r="C62" s="14"/>
      <c r="D62" s="14"/>
      <c r="E62" s="9">
        <v>0.35659999999999997</v>
      </c>
      <c r="F62" s="11" t="s">
        <v>160</v>
      </c>
      <c r="G62" s="11" t="s">
        <v>90</v>
      </c>
    </row>
    <row r="63" spans="1:7" ht="15">
      <c r="A63" s="2" t="s">
        <v>316</v>
      </c>
      <c r="B63" s="11" t="s">
        <v>317</v>
      </c>
      <c r="C63" s="13"/>
      <c r="D63" s="13"/>
      <c r="E63" s="8">
        <v>262</v>
      </c>
      <c r="F63" s="11" t="s">
        <v>160</v>
      </c>
      <c r="G63" s="11" t="s">
        <v>90</v>
      </c>
    </row>
    <row r="64" spans="1:7" ht="15">
      <c r="A64" s="2" t="s">
        <v>318</v>
      </c>
      <c r="B64" s="11" t="s">
        <v>317</v>
      </c>
      <c r="C64" s="13"/>
      <c r="D64" s="13"/>
      <c r="E64" s="8">
        <v>20</v>
      </c>
      <c r="F64" s="11" t="s">
        <v>160</v>
      </c>
      <c r="G64" s="11" t="s">
        <v>90</v>
      </c>
    </row>
    <row r="66" spans="1:7" ht="26" customHeight="1">
      <c r="A66" s="88" t="s">
        <v>319</v>
      </c>
      <c r="B66" s="83"/>
      <c r="C66" s="83"/>
      <c r="D66" s="83"/>
      <c r="E66" s="83"/>
      <c r="F66" s="83"/>
      <c r="G66" s="83"/>
    </row>
    <row r="67" spans="1:7" ht="30" customHeight="1">
      <c r="A67" s="4" t="s">
        <v>154</v>
      </c>
      <c r="B67" s="4" t="s">
        <v>250</v>
      </c>
      <c r="C67" s="4" t="s">
        <v>63</v>
      </c>
      <c r="D67" s="4" t="s">
        <v>320</v>
      </c>
      <c r="E67" s="4" t="s">
        <v>321</v>
      </c>
      <c r="F67" s="4" t="s">
        <v>156</v>
      </c>
      <c r="G67" s="4" t="s">
        <v>157</v>
      </c>
    </row>
    <row r="68" spans="1:7" ht="15">
      <c r="A68" s="2" t="s">
        <v>255</v>
      </c>
      <c r="B68" s="11" t="s">
        <v>256</v>
      </c>
      <c r="C68" s="7">
        <v>42284.05</v>
      </c>
      <c r="D68" s="7">
        <v>25095.87</v>
      </c>
      <c r="E68" s="9">
        <v>0.68489999999999995</v>
      </c>
      <c r="F68" s="11" t="s">
        <v>322</v>
      </c>
      <c r="G68" s="11" t="s">
        <v>90</v>
      </c>
    </row>
    <row r="69" spans="1:7" ht="15">
      <c r="A69" s="2" t="s">
        <v>279</v>
      </c>
      <c r="B69" s="11" t="s">
        <v>256</v>
      </c>
      <c r="C69" s="7">
        <v>4913.6000000000004</v>
      </c>
      <c r="D69" s="7">
        <v>10820.57</v>
      </c>
      <c r="E69" s="9">
        <v>-0.54590000000000005</v>
      </c>
      <c r="F69" s="11" t="s">
        <v>322</v>
      </c>
      <c r="G69" s="11" t="s">
        <v>90</v>
      </c>
    </row>
    <row r="70" spans="1:7" ht="15">
      <c r="A70" s="2" t="s">
        <v>280</v>
      </c>
      <c r="B70" s="11" t="s">
        <v>256</v>
      </c>
      <c r="C70" s="7">
        <v>4897.4399999999996</v>
      </c>
      <c r="D70" s="7">
        <v>10826.23</v>
      </c>
      <c r="E70" s="9">
        <v>-0.54759999999999998</v>
      </c>
      <c r="F70" s="11" t="s">
        <v>322</v>
      </c>
      <c r="G70" s="11" t="s">
        <v>90</v>
      </c>
    </row>
    <row r="71" spans="1:7" ht="15">
      <c r="A71" s="2" t="s">
        <v>281</v>
      </c>
      <c r="B71" s="11" t="s">
        <v>256</v>
      </c>
      <c r="C71" s="7">
        <v>5001.38</v>
      </c>
      <c r="D71" s="7">
        <v>9560.25</v>
      </c>
      <c r="E71" s="9">
        <v>-0.47689999999999999</v>
      </c>
      <c r="F71" s="11" t="s">
        <v>322</v>
      </c>
      <c r="G71" s="11" t="s">
        <v>90</v>
      </c>
    </row>
    <row r="72" spans="1:7" ht="15">
      <c r="A72" s="2" t="s">
        <v>282</v>
      </c>
      <c r="B72" s="11" t="s">
        <v>256</v>
      </c>
      <c r="C72" s="7">
        <v>5001.38</v>
      </c>
      <c r="D72" s="7">
        <v>9560.25</v>
      </c>
      <c r="E72" s="9">
        <v>-0.47689999999999999</v>
      </c>
      <c r="F72" s="11" t="s">
        <v>322</v>
      </c>
      <c r="G72" s="11" t="s">
        <v>90</v>
      </c>
    </row>
    <row r="73" spans="1:7" ht="15">
      <c r="A73" s="2" t="s">
        <v>323</v>
      </c>
      <c r="B73" s="11" t="s">
        <v>256</v>
      </c>
      <c r="C73" s="7">
        <v>4025.36</v>
      </c>
      <c r="D73" s="7">
        <v>8483.65</v>
      </c>
      <c r="E73" s="9">
        <v>-0.52549999999999997</v>
      </c>
      <c r="F73" s="11" t="s">
        <v>322</v>
      </c>
      <c r="G73" s="11" t="s">
        <v>90</v>
      </c>
    </row>
    <row r="74" spans="1:7" ht="15">
      <c r="A74" s="2" t="s">
        <v>288</v>
      </c>
      <c r="B74" s="11" t="s">
        <v>256</v>
      </c>
      <c r="C74" s="7">
        <v>3439.96</v>
      </c>
      <c r="D74" s="7">
        <v>23972.68</v>
      </c>
      <c r="E74" s="9">
        <v>-0.85650000000000004</v>
      </c>
      <c r="F74" s="11" t="s">
        <v>322</v>
      </c>
      <c r="G74" s="11" t="s">
        <v>90</v>
      </c>
    </row>
    <row r="75" spans="1:7" ht="15">
      <c r="A75" s="2" t="s">
        <v>324</v>
      </c>
      <c r="B75" s="11" t="s">
        <v>256</v>
      </c>
      <c r="C75" s="7">
        <v>-4062.77</v>
      </c>
      <c r="D75" s="7">
        <v>10058.92</v>
      </c>
      <c r="E75" s="9">
        <v>-1.4038999999999999</v>
      </c>
      <c r="F75" s="11" t="s">
        <v>322</v>
      </c>
      <c r="G75" s="11" t="s">
        <v>90</v>
      </c>
    </row>
    <row r="76" spans="1:7" ht="15">
      <c r="A76" s="2" t="s">
        <v>325</v>
      </c>
      <c r="B76" s="11" t="s">
        <v>256</v>
      </c>
      <c r="C76" s="7">
        <v>-1511.59</v>
      </c>
      <c r="D76" s="7">
        <v>9545.51</v>
      </c>
      <c r="E76" s="9">
        <v>-1.1584000000000001</v>
      </c>
      <c r="F76" s="11" t="s">
        <v>322</v>
      </c>
      <c r="G76" s="11" t="s">
        <v>90</v>
      </c>
    </row>
    <row r="77" spans="1:7" ht="15">
      <c r="A77" s="2" t="s">
        <v>326</v>
      </c>
      <c r="B77" s="11" t="s">
        <v>256</v>
      </c>
      <c r="C77" s="7">
        <v>345907.18</v>
      </c>
      <c r="D77" s="7">
        <v>320853.83</v>
      </c>
      <c r="E77" s="9">
        <v>7.8100000000000003E-2</v>
      </c>
      <c r="F77" s="11" t="s">
        <v>322</v>
      </c>
      <c r="G77" s="11" t="s">
        <v>90</v>
      </c>
    </row>
    <row r="78" spans="1:7" ht="15">
      <c r="A78" s="2" t="s">
        <v>327</v>
      </c>
      <c r="B78" s="11" t="s">
        <v>256</v>
      </c>
      <c r="C78" s="7">
        <v>80373.63</v>
      </c>
      <c r="D78" s="7">
        <v>60387.99</v>
      </c>
      <c r="E78" s="9">
        <v>0.33100000000000002</v>
      </c>
      <c r="F78" s="11" t="s">
        <v>322</v>
      </c>
      <c r="G78" s="11" t="s">
        <v>90</v>
      </c>
    </row>
    <row r="79" spans="1:7" ht="15">
      <c r="A79" s="2" t="s">
        <v>328</v>
      </c>
      <c r="B79" s="11" t="s">
        <v>256</v>
      </c>
      <c r="C79" s="7">
        <v>265533.55</v>
      </c>
      <c r="D79" s="7">
        <v>260465.85</v>
      </c>
      <c r="E79" s="9">
        <v>1.95E-2</v>
      </c>
      <c r="F79" s="11" t="s">
        <v>322</v>
      </c>
      <c r="G79" s="11" t="s">
        <v>90</v>
      </c>
    </row>
    <row r="80" spans="1:7" ht="15">
      <c r="A80" s="2" t="s">
        <v>329</v>
      </c>
      <c r="B80" s="11" t="s">
        <v>256</v>
      </c>
      <c r="C80" s="7">
        <v>976.02</v>
      </c>
      <c r="D80" s="7">
        <v>1076.5999999999999</v>
      </c>
      <c r="E80" s="14"/>
      <c r="F80" s="11" t="s">
        <v>322</v>
      </c>
      <c r="G80" s="11" t="s">
        <v>90</v>
      </c>
    </row>
    <row r="81" spans="1:7" ht="15">
      <c r="A81" s="2" t="s">
        <v>330</v>
      </c>
      <c r="B81" s="11" t="s">
        <v>256</v>
      </c>
      <c r="C81" s="7">
        <v>560.20000000000005</v>
      </c>
      <c r="D81" s="7">
        <v>861.93</v>
      </c>
      <c r="E81" s="14"/>
      <c r="F81" s="11" t="s">
        <v>322</v>
      </c>
      <c r="G81" s="11" t="s">
        <v>90</v>
      </c>
    </row>
    <row r="82" spans="1:7" ht="15">
      <c r="A82" s="2" t="s">
        <v>331</v>
      </c>
      <c r="B82" s="11" t="s">
        <v>256</v>
      </c>
      <c r="C82" s="7">
        <v>573.16999999999996</v>
      </c>
      <c r="D82" s="7">
        <v>375.92</v>
      </c>
      <c r="E82" s="14"/>
      <c r="F82" s="11" t="s">
        <v>322</v>
      </c>
      <c r="G82" s="11" t="s">
        <v>90</v>
      </c>
    </row>
    <row r="83" spans="1:7" ht="15">
      <c r="A83" s="2" t="s">
        <v>332</v>
      </c>
      <c r="B83" s="11" t="s">
        <v>256</v>
      </c>
      <c r="C83" s="7">
        <v>3832.8</v>
      </c>
      <c r="D83" s="12"/>
      <c r="E83" s="14"/>
      <c r="F83" s="11" t="s">
        <v>322</v>
      </c>
      <c r="G83" s="11" t="s">
        <v>90</v>
      </c>
    </row>
    <row r="84" spans="1:7" ht="15" customHeight="1">
      <c r="A84" s="87" t="s">
        <v>333</v>
      </c>
      <c r="B84" s="83"/>
      <c r="C84" s="83"/>
      <c r="D84" s="83"/>
      <c r="E84" s="83"/>
      <c r="F84" s="83"/>
      <c r="G84" s="83"/>
    </row>
    <row r="86" spans="1:7" ht="26" customHeight="1">
      <c r="A86" s="88" t="s">
        <v>334</v>
      </c>
      <c r="B86" s="83"/>
      <c r="C86" s="83"/>
      <c r="D86" s="83"/>
      <c r="E86" s="83"/>
      <c r="F86" s="83"/>
      <c r="G86" s="83"/>
    </row>
    <row r="87" spans="1:7" ht="30" customHeight="1">
      <c r="A87" s="4" t="s">
        <v>154</v>
      </c>
      <c r="B87" s="4" t="s">
        <v>250</v>
      </c>
      <c r="C87" s="4" t="s">
        <v>67</v>
      </c>
      <c r="D87" s="4" t="s">
        <v>335</v>
      </c>
      <c r="E87" s="4" t="s">
        <v>336</v>
      </c>
      <c r="F87" s="4" t="s">
        <v>156</v>
      </c>
      <c r="G87" s="4" t="s">
        <v>157</v>
      </c>
    </row>
    <row r="88" spans="1:7" ht="15">
      <c r="A88" s="2" t="s">
        <v>337</v>
      </c>
      <c r="B88" s="11" t="s">
        <v>256</v>
      </c>
      <c r="C88" s="7">
        <v>115224.56</v>
      </c>
      <c r="D88" s="7">
        <v>77571.92</v>
      </c>
      <c r="E88" s="9">
        <v>0.4854</v>
      </c>
      <c r="F88" s="11" t="s">
        <v>338</v>
      </c>
      <c r="G88" s="11" t="s">
        <v>98</v>
      </c>
    </row>
    <row r="89" spans="1:7" ht="15">
      <c r="A89" s="2" t="s">
        <v>279</v>
      </c>
      <c r="B89" s="11" t="s">
        <v>256</v>
      </c>
      <c r="C89" s="7">
        <v>30223.84</v>
      </c>
      <c r="D89" s="7">
        <v>1500.1</v>
      </c>
      <c r="E89" s="9">
        <v>19.1479</v>
      </c>
      <c r="F89" s="11" t="s">
        <v>338</v>
      </c>
      <c r="G89" s="11" t="s">
        <v>98</v>
      </c>
    </row>
    <row r="90" spans="1:7" ht="15">
      <c r="A90" s="2" t="s">
        <v>280</v>
      </c>
      <c r="B90" s="11" t="s">
        <v>256</v>
      </c>
      <c r="C90" s="7">
        <v>30111.34</v>
      </c>
      <c r="D90" s="7">
        <v>1507.59</v>
      </c>
      <c r="E90" s="9">
        <v>18.973099999999999</v>
      </c>
      <c r="F90" s="11" t="s">
        <v>338</v>
      </c>
      <c r="G90" s="11" t="s">
        <v>98</v>
      </c>
    </row>
    <row r="91" spans="1:7" ht="15">
      <c r="A91" s="2" t="s">
        <v>339</v>
      </c>
      <c r="B91" s="11" t="s">
        <v>256</v>
      </c>
      <c r="C91" s="7">
        <v>27399.99</v>
      </c>
      <c r="D91" s="7">
        <v>-3202.45</v>
      </c>
      <c r="E91" s="14"/>
      <c r="F91" s="11" t="s">
        <v>338</v>
      </c>
      <c r="G91" s="11" t="s">
        <v>98</v>
      </c>
    </row>
    <row r="92" spans="1:7" ht="15">
      <c r="A92" s="2" t="s">
        <v>340</v>
      </c>
      <c r="B92" s="11" t="s">
        <v>256</v>
      </c>
      <c r="C92" s="7">
        <v>24393.03</v>
      </c>
      <c r="D92" s="7">
        <v>30243.35</v>
      </c>
      <c r="E92" s="9">
        <v>-0.19339999999999999</v>
      </c>
      <c r="F92" s="11" t="s">
        <v>338</v>
      </c>
      <c r="G92" s="11" t="s">
        <v>98</v>
      </c>
    </row>
    <row r="93" spans="1:7" ht="15">
      <c r="A93" s="2" t="s">
        <v>307</v>
      </c>
      <c r="B93" s="11" t="s">
        <v>47</v>
      </c>
      <c r="C93" s="7">
        <v>0.75</v>
      </c>
      <c r="D93" s="7">
        <v>-0.09</v>
      </c>
      <c r="E93" s="14"/>
      <c r="F93" s="11" t="s">
        <v>338</v>
      </c>
      <c r="G93" s="11" t="s">
        <v>98</v>
      </c>
    </row>
    <row r="94" spans="1:7" ht="15">
      <c r="A94" s="2" t="s">
        <v>341</v>
      </c>
      <c r="B94" s="11" t="s">
        <v>47</v>
      </c>
      <c r="C94" s="7">
        <v>0.67</v>
      </c>
      <c r="D94" s="7">
        <v>0.83</v>
      </c>
      <c r="E94" s="9">
        <v>-0.1928</v>
      </c>
      <c r="F94" s="11" t="s">
        <v>338</v>
      </c>
      <c r="G94" s="11" t="s">
        <v>98</v>
      </c>
    </row>
    <row r="95" spans="1:7" ht="15">
      <c r="A95" s="2" t="s">
        <v>304</v>
      </c>
      <c r="B95" s="11" t="s">
        <v>300</v>
      </c>
      <c r="C95" s="7">
        <v>9.9900000000000003E-2</v>
      </c>
      <c r="D95" s="7">
        <v>-2.23E-2</v>
      </c>
      <c r="E95" s="9">
        <v>0.1222</v>
      </c>
      <c r="F95" s="11" t="s">
        <v>338</v>
      </c>
      <c r="G95" s="11" t="s">
        <v>98</v>
      </c>
    </row>
    <row r="96" spans="1:7" ht="15">
      <c r="A96" s="2" t="s">
        <v>342</v>
      </c>
      <c r="B96" s="11" t="s">
        <v>300</v>
      </c>
      <c r="C96" s="7">
        <v>8.8999999999999996E-2</v>
      </c>
      <c r="D96" s="7">
        <v>0.2102</v>
      </c>
      <c r="E96" s="9">
        <v>-0.1212</v>
      </c>
      <c r="F96" s="11" t="s">
        <v>338</v>
      </c>
      <c r="G96" s="11" t="s">
        <v>98</v>
      </c>
    </row>
    <row r="97" spans="1:7" ht="15">
      <c r="A97" s="2" t="s">
        <v>288</v>
      </c>
      <c r="B97" s="11" t="s">
        <v>256</v>
      </c>
      <c r="C97" s="7">
        <v>23154.53</v>
      </c>
      <c r="D97" s="7">
        <v>34319.360000000001</v>
      </c>
      <c r="E97" s="9">
        <v>-0.32529999999999998</v>
      </c>
      <c r="F97" s="11" t="s">
        <v>338</v>
      </c>
      <c r="G97" s="11" t="s">
        <v>98</v>
      </c>
    </row>
    <row r="98" spans="1:7" ht="15">
      <c r="A98" s="2" t="s">
        <v>343</v>
      </c>
      <c r="B98" s="11" t="s">
        <v>47</v>
      </c>
      <c r="C98" s="7">
        <v>0.64</v>
      </c>
      <c r="D98" s="7">
        <v>0.94</v>
      </c>
      <c r="E98" s="9">
        <v>-0.32529999999999998</v>
      </c>
      <c r="F98" s="11" t="s">
        <v>338</v>
      </c>
      <c r="G98" s="11" t="s">
        <v>98</v>
      </c>
    </row>
    <row r="99" spans="1:7" ht="15">
      <c r="A99" s="2" t="s">
        <v>344</v>
      </c>
      <c r="B99" s="11" t="s">
        <v>256</v>
      </c>
      <c r="C99" s="7">
        <v>288848.40999999997</v>
      </c>
      <c r="D99" s="7">
        <v>221966.64</v>
      </c>
      <c r="E99" s="9">
        <v>0.30130000000000001</v>
      </c>
      <c r="F99" s="11" t="s">
        <v>338</v>
      </c>
      <c r="G99" s="11" t="s">
        <v>98</v>
      </c>
    </row>
    <row r="100" spans="1:7" ht="15">
      <c r="A100" s="2" t="s">
        <v>345</v>
      </c>
      <c r="B100" s="11" t="s">
        <v>256</v>
      </c>
      <c r="C100" s="7">
        <v>86454.44</v>
      </c>
      <c r="D100" s="7">
        <v>55573.4</v>
      </c>
      <c r="E100" s="9">
        <v>0.55569999999999997</v>
      </c>
      <c r="F100" s="11" t="s">
        <v>338</v>
      </c>
      <c r="G100" s="11" t="s">
        <v>98</v>
      </c>
    </row>
    <row r="101" spans="1:7" ht="15">
      <c r="A101" s="2" t="s">
        <v>346</v>
      </c>
      <c r="B101" s="11" t="s">
        <v>256</v>
      </c>
      <c r="C101" s="7">
        <v>384546.94</v>
      </c>
      <c r="D101" s="7">
        <v>320853.83</v>
      </c>
      <c r="E101" s="9">
        <v>0.19850000000000001</v>
      </c>
      <c r="F101" s="11" t="s">
        <v>338</v>
      </c>
      <c r="G101" s="11" t="s">
        <v>98</v>
      </c>
    </row>
    <row r="102" spans="1:7" ht="15">
      <c r="A102" s="2" t="s">
        <v>347</v>
      </c>
      <c r="B102" s="11" t="s">
        <v>300</v>
      </c>
      <c r="C102" s="12"/>
      <c r="D102" s="12"/>
      <c r="E102" s="9">
        <v>0.5988</v>
      </c>
      <c r="F102" s="11" t="s">
        <v>338</v>
      </c>
      <c r="G102" s="11" t="s">
        <v>98</v>
      </c>
    </row>
    <row r="103" spans="1:7" ht="15">
      <c r="A103" s="2" t="s">
        <v>348</v>
      </c>
      <c r="B103" s="11" t="s">
        <v>300</v>
      </c>
      <c r="C103" s="7">
        <v>0.24840000000000001</v>
      </c>
      <c r="D103" s="7">
        <v>0.18559999999999999</v>
      </c>
      <c r="E103" s="9">
        <v>6.2700000000000006E-2</v>
      </c>
      <c r="F103" s="11" t="s">
        <v>338</v>
      </c>
      <c r="G103" s="11" t="s">
        <v>98</v>
      </c>
    </row>
    <row r="104" spans="1:7" ht="15">
      <c r="A104" s="2" t="s">
        <v>349</v>
      </c>
      <c r="B104" s="11" t="s">
        <v>300</v>
      </c>
      <c r="C104" s="7">
        <v>0.25109999999999999</v>
      </c>
      <c r="D104" s="7">
        <v>0.18820000000000001</v>
      </c>
      <c r="E104" s="9">
        <v>6.2899999999999998E-2</v>
      </c>
      <c r="F104" s="11" t="s">
        <v>338</v>
      </c>
      <c r="G104" s="11" t="s">
        <v>98</v>
      </c>
    </row>
    <row r="105" spans="1:7" ht="15">
      <c r="A105" s="2" t="s">
        <v>350</v>
      </c>
      <c r="B105" s="11" t="s">
        <v>256</v>
      </c>
      <c r="C105" s="7">
        <v>287998.48</v>
      </c>
      <c r="D105" s="7">
        <v>260465.85</v>
      </c>
      <c r="E105" s="9">
        <v>0.1057</v>
      </c>
      <c r="F105" s="11" t="s">
        <v>338</v>
      </c>
      <c r="G105" s="11" t="s">
        <v>98</v>
      </c>
    </row>
    <row r="106" spans="1:7" ht="15">
      <c r="A106" s="2" t="s">
        <v>351</v>
      </c>
      <c r="B106" s="11" t="s">
        <v>47</v>
      </c>
      <c r="C106" s="7">
        <v>7.91</v>
      </c>
      <c r="D106" s="7">
        <v>7.16</v>
      </c>
      <c r="E106" s="9">
        <v>0.1057</v>
      </c>
      <c r="F106" s="11" t="s">
        <v>338</v>
      </c>
      <c r="G106" s="11" t="s">
        <v>98</v>
      </c>
    </row>
    <row r="107" spans="1:7" ht="15">
      <c r="A107" s="2" t="s">
        <v>352</v>
      </c>
      <c r="B107" s="11" t="s">
        <v>256</v>
      </c>
      <c r="C107" s="7">
        <v>8203.74</v>
      </c>
      <c r="D107" s="12"/>
      <c r="E107" s="14"/>
      <c r="F107" s="11" t="s">
        <v>338</v>
      </c>
      <c r="G107" s="11" t="s">
        <v>98</v>
      </c>
    </row>
    <row r="108" spans="1:7" ht="26" customHeight="1">
      <c r="A108" s="87" t="s">
        <v>353</v>
      </c>
      <c r="B108" s="83"/>
      <c r="C108" s="83"/>
      <c r="D108" s="83"/>
      <c r="E108" s="83"/>
      <c r="F108" s="83"/>
      <c r="G108" s="83"/>
    </row>
    <row r="110" spans="1:7" ht="26" customHeight="1">
      <c r="A110" s="89" t="s">
        <v>354</v>
      </c>
      <c r="B110" s="83"/>
      <c r="C110" s="83"/>
      <c r="D110" s="83"/>
      <c r="E110" s="83"/>
      <c r="F110" s="83"/>
      <c r="G110" s="83"/>
    </row>
    <row r="111" spans="1:7" ht="30" customHeight="1">
      <c r="A111" s="4" t="s">
        <v>154</v>
      </c>
      <c r="B111" s="4" t="s">
        <v>250</v>
      </c>
      <c r="C111" s="4" t="s">
        <v>355</v>
      </c>
      <c r="D111" s="4" t="s">
        <v>356</v>
      </c>
      <c r="E111" s="4" t="s">
        <v>357</v>
      </c>
      <c r="F111" s="4" t="s">
        <v>156</v>
      </c>
      <c r="G111" s="4" t="s">
        <v>157</v>
      </c>
    </row>
    <row r="112" spans="1:7" ht="15">
      <c r="A112" s="15" t="s">
        <v>255</v>
      </c>
      <c r="B112" s="16" t="s">
        <v>256</v>
      </c>
      <c r="C112" s="17">
        <v>105200</v>
      </c>
      <c r="D112" s="17">
        <v>112800</v>
      </c>
      <c r="E112" s="17">
        <v>77571.92</v>
      </c>
      <c r="F112" s="16" t="s">
        <v>358</v>
      </c>
      <c r="G112" s="16" t="s">
        <v>90</v>
      </c>
    </row>
    <row r="113" spans="1:7" ht="15">
      <c r="A113" s="15" t="s">
        <v>282</v>
      </c>
      <c r="B113" s="16" t="s">
        <v>256</v>
      </c>
      <c r="C113" s="17">
        <v>25800</v>
      </c>
      <c r="D113" s="17">
        <v>30600</v>
      </c>
      <c r="E113" s="17">
        <v>-3202.45</v>
      </c>
      <c r="F113" s="16" t="s">
        <v>358</v>
      </c>
      <c r="G113" s="16" t="s">
        <v>90</v>
      </c>
    </row>
    <row r="114" spans="1:7" ht="15">
      <c r="A114" s="15" t="s">
        <v>323</v>
      </c>
      <c r="B114" s="16" t="s">
        <v>256</v>
      </c>
      <c r="C114" s="17">
        <v>23600</v>
      </c>
      <c r="D114" s="17">
        <v>28300</v>
      </c>
      <c r="E114" s="17">
        <v>30243.35</v>
      </c>
      <c r="F114" s="16" t="s">
        <v>358</v>
      </c>
      <c r="G114" s="16" t="s">
        <v>90</v>
      </c>
    </row>
    <row r="115" spans="1:7" ht="26" customHeight="1">
      <c r="A115" s="85" t="s">
        <v>359</v>
      </c>
      <c r="B115" s="83"/>
      <c r="C115" s="83"/>
      <c r="D115" s="83"/>
      <c r="E115" s="83"/>
      <c r="F115" s="83"/>
      <c r="G115" s="83"/>
    </row>
  </sheetData>
  <mergeCells count="17">
    <mergeCell ref="A115:G115"/>
    <mergeCell ref="A110:G110"/>
    <mergeCell ref="A12:G12"/>
    <mergeCell ref="A4:G4"/>
    <mergeCell ref="A108:G108"/>
    <mergeCell ref="A38:G38"/>
    <mergeCell ref="A86:G86"/>
    <mergeCell ref="A59:G59"/>
    <mergeCell ref="A33:G33"/>
    <mergeCell ref="A47:G47"/>
    <mergeCell ref="A84:G84"/>
    <mergeCell ref="A36:G36"/>
    <mergeCell ref="A66:G66"/>
    <mergeCell ref="A1:G1"/>
    <mergeCell ref="A18:G18"/>
    <mergeCell ref="A27:G27"/>
    <mergeCell ref="A2:G2"/>
  </mergeCells>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H61"/>
  <sheetViews>
    <sheetView showGridLines="0" workbookViewId="0"/>
  </sheetViews>
  <sheetFormatPr baseColWidth="10" defaultColWidth="8.83203125" defaultRowHeight="14"/>
  <cols>
    <col min="1" max="1" width="26" customWidth="1"/>
    <col min="2" max="2" width="12" customWidth="1"/>
    <col min="3" max="4" width="13" customWidth="1"/>
    <col min="5" max="5" width="12" customWidth="1"/>
    <col min="6" max="6" width="13" customWidth="1"/>
    <col min="7" max="7" width="12" customWidth="1"/>
    <col min="8" max="8" width="8" customWidth="1"/>
  </cols>
  <sheetData>
    <row r="1" spans="1:8" ht="26" customHeight="1">
      <c r="A1" s="82" t="s">
        <v>360</v>
      </c>
      <c r="B1" s="83"/>
      <c r="C1" s="83"/>
      <c r="D1" s="83"/>
      <c r="E1" s="83"/>
      <c r="F1" s="83"/>
      <c r="G1" s="83"/>
      <c r="H1" s="83"/>
    </row>
    <row r="2" spans="1:8" ht="30" customHeight="1">
      <c r="A2" s="4" t="s">
        <v>361</v>
      </c>
      <c r="B2" s="4" t="s">
        <v>362</v>
      </c>
      <c r="C2" s="4" t="s">
        <v>363</v>
      </c>
      <c r="D2" s="4" t="s">
        <v>364</v>
      </c>
      <c r="E2" s="4" t="s">
        <v>365</v>
      </c>
      <c r="F2" s="4" t="s">
        <v>366</v>
      </c>
      <c r="G2" s="4" t="s">
        <v>367</v>
      </c>
      <c r="H2" s="4" t="s">
        <v>157</v>
      </c>
    </row>
    <row r="3" spans="1:8" ht="15">
      <c r="A3" s="2" t="s">
        <v>368</v>
      </c>
      <c r="B3" s="7">
        <v>11938.09</v>
      </c>
      <c r="C3" s="9">
        <v>0.75780000000000003</v>
      </c>
      <c r="D3" s="7">
        <v>23054.37</v>
      </c>
      <c r="E3" s="9">
        <v>0.59470000000000001</v>
      </c>
      <c r="F3" s="7">
        <v>69762.559999999998</v>
      </c>
      <c r="G3" s="9">
        <v>0.41620000000000001</v>
      </c>
      <c r="H3" s="2" t="s">
        <v>90</v>
      </c>
    </row>
    <row r="4" spans="1:8" ht="15">
      <c r="A4" s="2" t="s">
        <v>369</v>
      </c>
      <c r="B4" s="7">
        <v>296.70999999999998</v>
      </c>
      <c r="C4" s="9">
        <v>1.8800000000000001E-2</v>
      </c>
      <c r="D4" s="7">
        <v>10729.76</v>
      </c>
      <c r="E4" s="9">
        <v>0.27679999999999999</v>
      </c>
      <c r="F4" s="7">
        <v>86783.19</v>
      </c>
      <c r="G4" s="9">
        <v>0.51780000000000004</v>
      </c>
      <c r="H4" s="2" t="s">
        <v>90</v>
      </c>
    </row>
    <row r="5" spans="1:8" ht="15">
      <c r="A5" s="2" t="s">
        <v>370</v>
      </c>
      <c r="B5" s="7">
        <v>2692.34</v>
      </c>
      <c r="C5" s="9">
        <v>0.1709</v>
      </c>
      <c r="D5" s="7">
        <v>4453.82</v>
      </c>
      <c r="E5" s="9">
        <v>0.1149</v>
      </c>
      <c r="F5" s="7">
        <v>10373.67</v>
      </c>
      <c r="G5" s="9">
        <v>6.1899999999999997E-2</v>
      </c>
      <c r="H5" s="2" t="s">
        <v>90</v>
      </c>
    </row>
    <row r="6" spans="1:8" ht="15">
      <c r="A6" s="2" t="s">
        <v>371</v>
      </c>
      <c r="B6" s="7">
        <v>826.51</v>
      </c>
      <c r="C6" s="9">
        <v>5.2499999999999998E-2</v>
      </c>
      <c r="D6" s="7">
        <v>529.33000000000004</v>
      </c>
      <c r="E6" s="9">
        <v>1.37E-2</v>
      </c>
      <c r="F6" s="7">
        <v>691.67</v>
      </c>
      <c r="G6" s="9">
        <v>4.1000000000000003E-3</v>
      </c>
      <c r="H6" s="2" t="s">
        <v>90</v>
      </c>
    </row>
    <row r="7" spans="1:8" ht="15">
      <c r="A7" s="18" t="s">
        <v>372</v>
      </c>
      <c r="B7" s="19">
        <v>15753.65</v>
      </c>
      <c r="C7" s="20">
        <v>1</v>
      </c>
      <c r="D7" s="19">
        <v>38767.279999999999</v>
      </c>
      <c r="E7" s="20">
        <v>1</v>
      </c>
      <c r="F7" s="19">
        <v>167611.09</v>
      </c>
      <c r="G7" s="20">
        <v>1</v>
      </c>
      <c r="H7" s="18" t="s">
        <v>90</v>
      </c>
    </row>
    <row r="9" spans="1:8" ht="26" customHeight="1">
      <c r="A9" s="88" t="s">
        <v>373</v>
      </c>
      <c r="B9" s="83"/>
      <c r="C9" s="83"/>
      <c r="D9" s="83"/>
      <c r="E9" s="83"/>
      <c r="F9" s="83"/>
      <c r="G9" s="83"/>
      <c r="H9" s="83"/>
    </row>
    <row r="10" spans="1:8" ht="30" customHeight="1">
      <c r="A10" s="4" t="s">
        <v>361</v>
      </c>
      <c r="B10" s="4" t="s">
        <v>374</v>
      </c>
      <c r="C10" s="4" t="s">
        <v>363</v>
      </c>
      <c r="D10" s="4" t="s">
        <v>375</v>
      </c>
      <c r="E10" s="4" t="s">
        <v>365</v>
      </c>
      <c r="F10" s="4" t="s">
        <v>376</v>
      </c>
      <c r="G10" s="4" t="s">
        <v>367</v>
      </c>
      <c r="H10" s="4" t="s">
        <v>157</v>
      </c>
    </row>
    <row r="11" spans="1:8" ht="15">
      <c r="A11" s="2" t="s">
        <v>368</v>
      </c>
      <c r="B11" s="7">
        <v>6719.87</v>
      </c>
      <c r="C11" s="9">
        <v>0.76470000000000005</v>
      </c>
      <c r="D11" s="7">
        <v>11147.49</v>
      </c>
      <c r="E11" s="9">
        <v>0.66469999999999996</v>
      </c>
      <c r="F11" s="7">
        <v>30193.4</v>
      </c>
      <c r="G11" s="9">
        <v>0.45179999999999998</v>
      </c>
      <c r="H11" s="2" t="s">
        <v>90</v>
      </c>
    </row>
    <row r="12" spans="1:8" ht="15">
      <c r="A12" s="2" t="s">
        <v>369</v>
      </c>
      <c r="B12" s="7">
        <v>36.590000000000003</v>
      </c>
      <c r="C12" s="9">
        <v>4.1999999999999997E-3</v>
      </c>
      <c r="D12" s="7">
        <v>3298.78</v>
      </c>
      <c r="E12" s="9">
        <v>0.19670000000000001</v>
      </c>
      <c r="F12" s="7">
        <v>31956.59</v>
      </c>
      <c r="G12" s="9">
        <v>0.47820000000000001</v>
      </c>
      <c r="H12" s="2" t="s">
        <v>90</v>
      </c>
    </row>
    <row r="13" spans="1:8" ht="15">
      <c r="A13" s="2" t="s">
        <v>370</v>
      </c>
      <c r="B13" s="7">
        <v>1379.44</v>
      </c>
      <c r="C13" s="9">
        <v>0.157</v>
      </c>
      <c r="D13" s="7">
        <v>1918.03</v>
      </c>
      <c r="E13" s="9">
        <v>0.1144</v>
      </c>
      <c r="F13" s="7">
        <v>4216.26</v>
      </c>
      <c r="G13" s="9">
        <v>6.3100000000000003E-2</v>
      </c>
      <c r="H13" s="2" t="s">
        <v>90</v>
      </c>
    </row>
    <row r="14" spans="1:8" ht="15">
      <c r="A14" s="2" t="s">
        <v>371</v>
      </c>
      <c r="B14" s="7">
        <v>652</v>
      </c>
      <c r="C14" s="9">
        <v>7.4200000000000002E-2</v>
      </c>
      <c r="D14" s="7">
        <v>406.37</v>
      </c>
      <c r="E14" s="9">
        <v>2.4199999999999999E-2</v>
      </c>
      <c r="F14" s="7">
        <v>459.78</v>
      </c>
      <c r="G14" s="9">
        <v>6.8999999999999999E-3</v>
      </c>
      <c r="H14" s="2" t="s">
        <v>90</v>
      </c>
    </row>
    <row r="15" spans="1:8" ht="15">
      <c r="A15" s="18" t="s">
        <v>377</v>
      </c>
      <c r="B15" s="19">
        <v>8787.9</v>
      </c>
      <c r="C15" s="20">
        <v>1</v>
      </c>
      <c r="D15" s="19">
        <v>16770.669999999998</v>
      </c>
      <c r="E15" s="20">
        <v>1</v>
      </c>
      <c r="F15" s="19">
        <v>66826.03</v>
      </c>
      <c r="G15" s="20">
        <v>1</v>
      </c>
      <c r="H15" s="18" t="s">
        <v>90</v>
      </c>
    </row>
    <row r="17" spans="1:8" ht="26" customHeight="1">
      <c r="A17" s="88" t="s">
        <v>378</v>
      </c>
      <c r="B17" s="83"/>
      <c r="C17" s="83"/>
      <c r="D17" s="83"/>
      <c r="E17" s="83"/>
      <c r="F17" s="83"/>
      <c r="G17" s="83"/>
      <c r="H17" s="83"/>
    </row>
    <row r="18" spans="1:8" ht="30" customHeight="1">
      <c r="A18" s="4" t="s">
        <v>379</v>
      </c>
      <c r="B18" s="4" t="s">
        <v>250</v>
      </c>
      <c r="C18" s="4" t="s">
        <v>380</v>
      </c>
      <c r="D18" s="4" t="s">
        <v>381</v>
      </c>
      <c r="E18" s="4" t="s">
        <v>382</v>
      </c>
      <c r="F18" s="4" t="s">
        <v>383</v>
      </c>
      <c r="G18" s="4" t="s">
        <v>384</v>
      </c>
      <c r="H18" s="4" t="s">
        <v>157</v>
      </c>
    </row>
    <row r="19" spans="1:8" ht="15">
      <c r="A19" s="2" t="s">
        <v>385</v>
      </c>
      <c r="B19" s="11" t="s">
        <v>386</v>
      </c>
      <c r="C19" s="8">
        <v>3121</v>
      </c>
      <c r="D19" s="8">
        <v>7136</v>
      </c>
      <c r="E19" s="9">
        <v>1.2864</v>
      </c>
      <c r="F19" s="8">
        <v>23037</v>
      </c>
      <c r="G19" s="9">
        <v>2.2282999999999999</v>
      </c>
      <c r="H19" s="11" t="s">
        <v>90</v>
      </c>
    </row>
    <row r="20" spans="1:8" ht="15">
      <c r="A20" s="2" t="s">
        <v>387</v>
      </c>
      <c r="B20" s="11" t="s">
        <v>388</v>
      </c>
      <c r="C20" s="7">
        <v>3.83</v>
      </c>
      <c r="D20" s="7">
        <v>3.23</v>
      </c>
      <c r="E20" s="9">
        <v>-0.15540000000000001</v>
      </c>
      <c r="F20" s="7">
        <v>3.03</v>
      </c>
      <c r="G20" s="9">
        <v>-6.2700000000000006E-2</v>
      </c>
      <c r="H20" s="11" t="s">
        <v>90</v>
      </c>
    </row>
    <row r="21" spans="1:8" ht="15">
      <c r="A21" s="2" t="s">
        <v>389</v>
      </c>
      <c r="B21" s="11" t="s">
        <v>256</v>
      </c>
      <c r="C21" s="7">
        <v>11938.09</v>
      </c>
      <c r="D21" s="7">
        <v>23054.37</v>
      </c>
      <c r="E21" s="9">
        <v>0.93120000000000003</v>
      </c>
      <c r="F21" s="7">
        <v>69762.559999999998</v>
      </c>
      <c r="G21" s="9">
        <v>2.0259999999999998</v>
      </c>
      <c r="H21" s="11" t="s">
        <v>90</v>
      </c>
    </row>
    <row r="22" spans="1:8" ht="15">
      <c r="A22" s="2" t="s">
        <v>390</v>
      </c>
      <c r="B22" s="11" t="s">
        <v>386</v>
      </c>
      <c r="C22" s="8">
        <v>5</v>
      </c>
      <c r="D22" s="8">
        <v>412</v>
      </c>
      <c r="E22" s="9">
        <v>81.400000000000006</v>
      </c>
      <c r="F22" s="8">
        <v>5215</v>
      </c>
      <c r="G22" s="9">
        <v>11.6578</v>
      </c>
      <c r="H22" s="11" t="s">
        <v>90</v>
      </c>
    </row>
    <row r="23" spans="1:8" ht="15">
      <c r="A23" s="2" t="s">
        <v>391</v>
      </c>
      <c r="B23" s="11" t="s">
        <v>388</v>
      </c>
      <c r="C23" s="7">
        <v>59.34</v>
      </c>
      <c r="D23" s="7">
        <v>26.04</v>
      </c>
      <c r="E23" s="9">
        <v>-0.56110000000000004</v>
      </c>
      <c r="F23" s="7">
        <v>16.64</v>
      </c>
      <c r="G23" s="9">
        <v>-0.36099999999999999</v>
      </c>
      <c r="H23" s="11" t="s">
        <v>90</v>
      </c>
    </row>
    <row r="24" spans="1:8" ht="15">
      <c r="A24" s="2" t="s">
        <v>392</v>
      </c>
      <c r="B24" s="11" t="s">
        <v>256</v>
      </c>
      <c r="C24" s="7">
        <v>296.70999999999998</v>
      </c>
      <c r="D24" s="7">
        <v>10729.76</v>
      </c>
      <c r="E24" s="9">
        <v>35.162399999999998</v>
      </c>
      <c r="F24" s="7">
        <v>86783.19</v>
      </c>
      <c r="G24" s="9">
        <v>7.0880999999999998</v>
      </c>
      <c r="H24" s="11" t="s">
        <v>90</v>
      </c>
    </row>
    <row r="25" spans="1:8" ht="39" customHeight="1">
      <c r="A25" s="85" t="s">
        <v>393</v>
      </c>
      <c r="B25" s="83"/>
      <c r="C25" s="83"/>
      <c r="D25" s="83"/>
      <c r="E25" s="83"/>
      <c r="F25" s="83"/>
      <c r="G25" s="83"/>
      <c r="H25" s="83"/>
    </row>
    <row r="27" spans="1:8" ht="26" customHeight="1">
      <c r="A27" s="88" t="s">
        <v>394</v>
      </c>
      <c r="B27" s="83"/>
      <c r="C27" s="83"/>
      <c r="D27" s="83"/>
      <c r="E27" s="83"/>
      <c r="F27" s="83"/>
      <c r="G27" s="83"/>
      <c r="H27" s="83"/>
    </row>
    <row r="28" spans="1:8" ht="30" customHeight="1">
      <c r="A28" s="4" t="s">
        <v>395</v>
      </c>
      <c r="B28" s="4" t="s">
        <v>362</v>
      </c>
      <c r="C28" s="4" t="s">
        <v>363</v>
      </c>
      <c r="D28" s="4" t="s">
        <v>364</v>
      </c>
      <c r="E28" s="4" t="s">
        <v>365</v>
      </c>
      <c r="F28" s="4" t="s">
        <v>366</v>
      </c>
      <c r="G28" s="4" t="s">
        <v>367</v>
      </c>
      <c r="H28" s="4" t="s">
        <v>157</v>
      </c>
    </row>
    <row r="29" spans="1:8" ht="15">
      <c r="A29" s="2" t="s">
        <v>396</v>
      </c>
      <c r="B29" s="7">
        <v>6989.41</v>
      </c>
      <c r="C29" s="9">
        <v>0.44369999999999998</v>
      </c>
      <c r="D29" s="7">
        <v>17156.55</v>
      </c>
      <c r="E29" s="9">
        <v>0.44259999999999999</v>
      </c>
      <c r="F29" s="7">
        <v>94445.56</v>
      </c>
      <c r="G29" s="9">
        <v>0.5635</v>
      </c>
      <c r="H29" s="2" t="s">
        <v>90</v>
      </c>
    </row>
    <row r="30" spans="1:8" ht="15">
      <c r="A30" s="2" t="s">
        <v>397</v>
      </c>
      <c r="B30" s="7">
        <v>8764.24</v>
      </c>
      <c r="C30" s="9">
        <v>0.55630000000000002</v>
      </c>
      <c r="D30" s="7">
        <v>21610.74</v>
      </c>
      <c r="E30" s="9">
        <v>0.55740000000000001</v>
      </c>
      <c r="F30" s="7">
        <v>73165.53</v>
      </c>
      <c r="G30" s="9">
        <v>0.4365</v>
      </c>
      <c r="H30" s="2" t="s">
        <v>90</v>
      </c>
    </row>
    <row r="31" spans="1:8" ht="15">
      <c r="A31" s="18" t="s">
        <v>398</v>
      </c>
      <c r="B31" s="19">
        <v>15753.65</v>
      </c>
      <c r="C31" s="20">
        <v>1</v>
      </c>
      <c r="D31" s="19">
        <v>38767.279999999999</v>
      </c>
      <c r="E31" s="20">
        <v>1</v>
      </c>
      <c r="F31" s="19">
        <v>167611.09</v>
      </c>
      <c r="G31" s="20">
        <v>1</v>
      </c>
      <c r="H31" s="18" t="s">
        <v>90</v>
      </c>
    </row>
    <row r="32" spans="1:8" ht="26" customHeight="1">
      <c r="A32" s="87" t="s">
        <v>399</v>
      </c>
      <c r="B32" s="83"/>
      <c r="C32" s="83"/>
      <c r="D32" s="83"/>
      <c r="E32" s="83"/>
      <c r="F32" s="83"/>
      <c r="G32" s="83"/>
      <c r="H32" s="83"/>
    </row>
    <row r="34" spans="1:8" ht="26" customHeight="1">
      <c r="A34" s="88" t="s">
        <v>400</v>
      </c>
      <c r="B34" s="83"/>
      <c r="C34" s="83"/>
      <c r="D34" s="83"/>
      <c r="E34" s="83"/>
      <c r="F34" s="83"/>
      <c r="G34" s="83"/>
      <c r="H34" s="83"/>
    </row>
    <row r="35" spans="1:8" ht="30" customHeight="1">
      <c r="A35" s="4" t="s">
        <v>401</v>
      </c>
      <c r="B35" s="4" t="s">
        <v>362</v>
      </c>
      <c r="C35" s="4" t="s">
        <v>363</v>
      </c>
      <c r="D35" s="4" t="s">
        <v>364</v>
      </c>
      <c r="E35" s="4" t="s">
        <v>365</v>
      </c>
      <c r="F35" s="4" t="s">
        <v>366</v>
      </c>
      <c r="G35" s="4" t="s">
        <v>367</v>
      </c>
      <c r="H35" s="4" t="s">
        <v>157</v>
      </c>
    </row>
    <row r="36" spans="1:8" ht="15">
      <c r="A36" s="2" t="s">
        <v>402</v>
      </c>
      <c r="B36" s="7">
        <v>3093.17</v>
      </c>
      <c r="C36" s="9">
        <v>0.1963</v>
      </c>
      <c r="D36" s="7">
        <v>6510.98</v>
      </c>
      <c r="E36" s="9">
        <v>0.16800000000000001</v>
      </c>
      <c r="F36" s="7">
        <v>24815.919999999998</v>
      </c>
      <c r="G36" s="9">
        <v>0.14810000000000001</v>
      </c>
      <c r="H36" s="2" t="s">
        <v>90</v>
      </c>
    </row>
    <row r="37" spans="1:8" ht="15">
      <c r="A37" s="2" t="s">
        <v>403</v>
      </c>
      <c r="B37" s="7">
        <v>4143.92</v>
      </c>
      <c r="C37" s="9">
        <v>0.26300000000000001</v>
      </c>
      <c r="D37" s="7">
        <v>6707.3</v>
      </c>
      <c r="E37" s="9">
        <v>0.17299999999999999</v>
      </c>
      <c r="F37" s="7">
        <v>52095.34</v>
      </c>
      <c r="G37" s="9">
        <v>0.31080000000000002</v>
      </c>
      <c r="H37" s="2" t="s">
        <v>90</v>
      </c>
    </row>
    <row r="38" spans="1:8" ht="15">
      <c r="A38" s="2" t="s">
        <v>404</v>
      </c>
      <c r="B38" s="7">
        <v>3222.43</v>
      </c>
      <c r="C38" s="9">
        <v>0.2046</v>
      </c>
      <c r="D38" s="7">
        <v>9765.44</v>
      </c>
      <c r="E38" s="9">
        <v>0.25190000000000001</v>
      </c>
      <c r="F38" s="7">
        <v>38543.68</v>
      </c>
      <c r="G38" s="9">
        <v>0.23</v>
      </c>
      <c r="H38" s="2" t="s">
        <v>90</v>
      </c>
    </row>
    <row r="39" spans="1:8" ht="15">
      <c r="A39" s="2" t="s">
        <v>405</v>
      </c>
      <c r="B39" s="7">
        <v>5294.13</v>
      </c>
      <c r="C39" s="9">
        <v>0.33610000000000001</v>
      </c>
      <c r="D39" s="7">
        <v>15783.55</v>
      </c>
      <c r="E39" s="9">
        <v>0.40710000000000002</v>
      </c>
      <c r="F39" s="7">
        <v>52156.15</v>
      </c>
      <c r="G39" s="9">
        <v>0.31119999999999998</v>
      </c>
      <c r="H39" s="2" t="s">
        <v>90</v>
      </c>
    </row>
    <row r="40" spans="1:8" ht="15" customHeight="1">
      <c r="A40" s="87" t="s">
        <v>406</v>
      </c>
      <c r="B40" s="83"/>
      <c r="C40" s="83"/>
      <c r="D40" s="83"/>
      <c r="E40" s="83"/>
      <c r="F40" s="83"/>
      <c r="G40" s="83"/>
      <c r="H40" s="83"/>
    </row>
    <row r="42" spans="1:8" ht="26" customHeight="1">
      <c r="A42" s="88" t="s">
        <v>407</v>
      </c>
      <c r="B42" s="83"/>
      <c r="C42" s="83"/>
      <c r="D42" s="83"/>
      <c r="E42" s="83"/>
      <c r="F42" s="83"/>
      <c r="G42" s="83"/>
      <c r="H42" s="83"/>
    </row>
    <row r="43" spans="1:8" ht="30" customHeight="1">
      <c r="A43" s="4" t="s">
        <v>408</v>
      </c>
      <c r="B43" s="4" t="s">
        <v>362</v>
      </c>
      <c r="C43" s="4" t="s">
        <v>363</v>
      </c>
      <c r="D43" s="4" t="s">
        <v>364</v>
      </c>
      <c r="E43" s="4" t="s">
        <v>365</v>
      </c>
      <c r="F43" s="4" t="s">
        <v>366</v>
      </c>
      <c r="G43" s="4" t="s">
        <v>367</v>
      </c>
      <c r="H43" s="4" t="s">
        <v>157</v>
      </c>
    </row>
    <row r="44" spans="1:8" ht="15">
      <c r="A44" s="2" t="s">
        <v>409</v>
      </c>
      <c r="B44" s="7">
        <v>2069.52</v>
      </c>
      <c r="C44" s="9">
        <v>0.13139999999999999</v>
      </c>
      <c r="D44" s="7">
        <v>4026.34</v>
      </c>
      <c r="E44" s="9">
        <v>0.10390000000000001</v>
      </c>
      <c r="F44" s="7">
        <v>17970.419999999998</v>
      </c>
      <c r="G44" s="9">
        <v>0.1072</v>
      </c>
      <c r="H44" s="2" t="s">
        <v>90</v>
      </c>
    </row>
    <row r="45" spans="1:8" ht="15">
      <c r="A45" s="2" t="s">
        <v>410</v>
      </c>
      <c r="B45" s="7">
        <v>2069.52</v>
      </c>
      <c r="C45" s="9">
        <v>0.13139999999999999</v>
      </c>
      <c r="D45" s="7">
        <v>4026.34</v>
      </c>
      <c r="E45" s="9">
        <v>0.10390000000000001</v>
      </c>
      <c r="F45" s="7">
        <v>13085.26</v>
      </c>
      <c r="G45" s="9">
        <v>7.8100000000000003E-2</v>
      </c>
      <c r="H45" s="2" t="s">
        <v>90</v>
      </c>
    </row>
    <row r="46" spans="1:8" ht="15">
      <c r="A46" s="2" t="s">
        <v>411</v>
      </c>
      <c r="B46" s="12"/>
      <c r="C46" s="14"/>
      <c r="D46" s="12"/>
      <c r="E46" s="14"/>
      <c r="F46" s="7">
        <v>4885.16</v>
      </c>
      <c r="G46" s="9">
        <v>2.9100000000000001E-2</v>
      </c>
      <c r="H46" s="2" t="s">
        <v>90</v>
      </c>
    </row>
    <row r="47" spans="1:8" ht="15">
      <c r="A47" s="2" t="s">
        <v>412</v>
      </c>
      <c r="B47" s="7">
        <v>13684.13</v>
      </c>
      <c r="C47" s="9">
        <v>0.86860000000000004</v>
      </c>
      <c r="D47" s="7">
        <v>34740.94</v>
      </c>
      <c r="E47" s="9">
        <v>0.89610000000000001</v>
      </c>
      <c r="F47" s="7">
        <v>149640.68</v>
      </c>
      <c r="G47" s="9">
        <v>0.89280000000000004</v>
      </c>
      <c r="H47" s="2" t="s">
        <v>90</v>
      </c>
    </row>
    <row r="48" spans="1:8" ht="15">
      <c r="A48" s="2" t="s">
        <v>413</v>
      </c>
      <c r="B48" s="7">
        <v>8077.3</v>
      </c>
      <c r="C48" s="9">
        <v>0.51270000000000004</v>
      </c>
      <c r="D48" s="7">
        <v>20873.099999999999</v>
      </c>
      <c r="E48" s="9">
        <v>0.53839999999999999</v>
      </c>
      <c r="F48" s="7">
        <v>85644.21</v>
      </c>
      <c r="G48" s="9">
        <v>0.51100000000000001</v>
      </c>
      <c r="H48" s="2" t="s">
        <v>90</v>
      </c>
    </row>
    <row r="49" spans="1:8" ht="15">
      <c r="A49" s="2" t="s">
        <v>414</v>
      </c>
      <c r="B49" s="7">
        <v>5606.83</v>
      </c>
      <c r="C49" s="9">
        <v>0.35589999999999999</v>
      </c>
      <c r="D49" s="7">
        <v>13867.84</v>
      </c>
      <c r="E49" s="9">
        <v>0.35770000000000002</v>
      </c>
      <c r="F49" s="7">
        <v>63996.47</v>
      </c>
      <c r="G49" s="9">
        <v>0.38179999999999997</v>
      </c>
      <c r="H49" s="2" t="s">
        <v>90</v>
      </c>
    </row>
    <row r="51" spans="1:8" ht="26" customHeight="1">
      <c r="A51" s="88" t="s">
        <v>415</v>
      </c>
      <c r="B51" s="83"/>
      <c r="C51" s="83"/>
      <c r="D51" s="83"/>
      <c r="E51" s="83"/>
      <c r="F51" s="83"/>
      <c r="G51" s="83"/>
      <c r="H51" s="83"/>
    </row>
    <row r="52" spans="1:8" ht="30" customHeight="1">
      <c r="A52" s="4" t="s">
        <v>416</v>
      </c>
      <c r="B52" s="4" t="s">
        <v>374</v>
      </c>
      <c r="C52" s="4" t="s">
        <v>363</v>
      </c>
      <c r="D52" s="4" t="s">
        <v>375</v>
      </c>
      <c r="E52" s="4" t="s">
        <v>365</v>
      </c>
      <c r="F52" s="4" t="s">
        <v>376</v>
      </c>
      <c r="G52" s="4" t="s">
        <v>367</v>
      </c>
      <c r="H52" s="4" t="s">
        <v>157</v>
      </c>
    </row>
    <row r="53" spans="1:8" ht="15">
      <c r="A53" s="2" t="s">
        <v>417</v>
      </c>
      <c r="B53" s="7">
        <v>6403.99</v>
      </c>
      <c r="C53" s="9">
        <v>0.72870000000000001</v>
      </c>
      <c r="D53" s="7">
        <v>12230.44</v>
      </c>
      <c r="E53" s="9">
        <v>0.72929999999999995</v>
      </c>
      <c r="F53" s="7">
        <v>54615.94</v>
      </c>
      <c r="G53" s="9">
        <v>0.81730000000000003</v>
      </c>
      <c r="H53" s="2" t="s">
        <v>90</v>
      </c>
    </row>
    <row r="54" spans="1:8" ht="15">
      <c r="A54" s="2" t="s">
        <v>418</v>
      </c>
      <c r="B54" s="7">
        <v>1227.74</v>
      </c>
      <c r="C54" s="9">
        <v>0.13969999999999999</v>
      </c>
      <c r="D54" s="7">
        <v>2084.91</v>
      </c>
      <c r="E54" s="9">
        <v>0.12429999999999999</v>
      </c>
      <c r="F54" s="7">
        <v>5396.4</v>
      </c>
      <c r="G54" s="9">
        <v>8.0799999999999997E-2</v>
      </c>
      <c r="H54" s="2" t="s">
        <v>90</v>
      </c>
    </row>
    <row r="55" spans="1:8" ht="15">
      <c r="A55" s="2" t="s">
        <v>419</v>
      </c>
      <c r="B55" s="7">
        <v>1156.18</v>
      </c>
      <c r="C55" s="9">
        <v>0.13159999999999999</v>
      </c>
      <c r="D55" s="7">
        <v>2455.31</v>
      </c>
      <c r="E55" s="9">
        <v>0.1464</v>
      </c>
      <c r="F55" s="7">
        <v>6813.69</v>
      </c>
      <c r="G55" s="9">
        <v>0.10199999999999999</v>
      </c>
      <c r="H55" s="2" t="s">
        <v>90</v>
      </c>
    </row>
    <row r="56" spans="1:8" ht="26" customHeight="1">
      <c r="A56" s="87" t="s">
        <v>420</v>
      </c>
      <c r="B56" s="83"/>
      <c r="C56" s="83"/>
      <c r="D56" s="83"/>
      <c r="E56" s="83"/>
      <c r="F56" s="83"/>
      <c r="G56" s="83"/>
      <c r="H56" s="83"/>
    </row>
    <row r="58" spans="1:8" ht="26" customHeight="1">
      <c r="A58" s="88" t="s">
        <v>421</v>
      </c>
      <c r="B58" s="83"/>
      <c r="C58" s="83"/>
      <c r="D58" s="83"/>
      <c r="E58" s="83"/>
      <c r="F58" s="83"/>
      <c r="G58" s="83"/>
      <c r="H58" s="83"/>
    </row>
    <row r="59" spans="1:8" ht="30" customHeight="1">
      <c r="A59" s="4" t="s">
        <v>361</v>
      </c>
      <c r="B59" s="4" t="s">
        <v>422</v>
      </c>
      <c r="C59" s="4" t="s">
        <v>423</v>
      </c>
      <c r="D59" s="4" t="s">
        <v>424</v>
      </c>
      <c r="E59" s="4" t="s">
        <v>425</v>
      </c>
      <c r="F59" s="4" t="s">
        <v>157</v>
      </c>
      <c r="G59" s="4"/>
      <c r="H59" s="4"/>
    </row>
    <row r="60" spans="1:8" ht="30">
      <c r="A60" s="2" t="s">
        <v>370</v>
      </c>
      <c r="B60" s="9">
        <v>0.48759999999999998</v>
      </c>
      <c r="C60" s="9">
        <v>0.56940000000000002</v>
      </c>
      <c r="D60" s="9">
        <v>0.59360000000000002</v>
      </c>
      <c r="E60" s="2" t="s">
        <v>426</v>
      </c>
      <c r="F60" s="2" t="s">
        <v>90</v>
      </c>
      <c r="G60" s="2"/>
      <c r="H60" s="2"/>
    </row>
    <row r="61" spans="1:8" ht="15" customHeight="1">
      <c r="A61" s="87" t="s">
        <v>427</v>
      </c>
      <c r="B61" s="83"/>
      <c r="C61" s="83"/>
      <c r="D61" s="83"/>
      <c r="E61" s="83"/>
      <c r="F61" s="83"/>
      <c r="G61" s="83"/>
      <c r="H61" s="83"/>
    </row>
  </sheetData>
  <mergeCells count="13">
    <mergeCell ref="A1:H1"/>
    <mergeCell ref="A32:H32"/>
    <mergeCell ref="A27:H27"/>
    <mergeCell ref="A61:H61"/>
    <mergeCell ref="A58:H58"/>
    <mergeCell ref="A17:H17"/>
    <mergeCell ref="A9:H9"/>
    <mergeCell ref="A56:H56"/>
    <mergeCell ref="A34:H34"/>
    <mergeCell ref="A25:H25"/>
    <mergeCell ref="A51:H51"/>
    <mergeCell ref="A40:H40"/>
    <mergeCell ref="A42:H42"/>
  </mergeCells>
  <phoneticPr fontId="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H51"/>
  <sheetViews>
    <sheetView showGridLines="0" workbookViewId="0"/>
  </sheetViews>
  <sheetFormatPr baseColWidth="10" defaultColWidth="8.83203125" defaultRowHeight="14"/>
  <cols>
    <col min="1" max="1" width="30" customWidth="1"/>
    <col min="2" max="2" width="14" customWidth="1"/>
    <col min="3" max="3" width="20" customWidth="1"/>
    <col min="4" max="5" width="13" customWidth="1"/>
    <col min="6" max="7" width="6" customWidth="1"/>
    <col min="8" max="8" width="8" customWidth="1"/>
  </cols>
  <sheetData>
    <row r="1" spans="1:6" ht="26" customHeight="1">
      <c r="A1" s="82" t="s">
        <v>428</v>
      </c>
      <c r="B1" s="83"/>
      <c r="C1" s="83"/>
      <c r="D1" s="83"/>
      <c r="E1" s="83"/>
      <c r="F1" s="83"/>
    </row>
    <row r="2" spans="1:6" ht="30" customHeight="1">
      <c r="A2" s="4" t="s">
        <v>429</v>
      </c>
      <c r="B2" s="4" t="s">
        <v>430</v>
      </c>
      <c r="C2" s="4" t="s">
        <v>431</v>
      </c>
      <c r="D2" s="4" t="s">
        <v>432</v>
      </c>
      <c r="E2" s="4" t="s">
        <v>433</v>
      </c>
      <c r="F2" s="4" t="s">
        <v>157</v>
      </c>
    </row>
    <row r="3" spans="1:6" ht="15">
      <c r="A3" s="8">
        <v>2025</v>
      </c>
      <c r="B3" s="21">
        <v>1</v>
      </c>
      <c r="C3" s="2" t="s">
        <v>434</v>
      </c>
      <c r="D3" s="7">
        <v>5288.74</v>
      </c>
      <c r="E3" s="9">
        <v>3.1099999999999999E-2</v>
      </c>
      <c r="F3" s="2" t="s">
        <v>90</v>
      </c>
    </row>
    <row r="4" spans="1:6" ht="15">
      <c r="A4" s="8">
        <v>2025</v>
      </c>
      <c r="B4" s="21">
        <v>2</v>
      </c>
      <c r="C4" s="2" t="s">
        <v>435</v>
      </c>
      <c r="D4" s="7">
        <v>4887.32</v>
      </c>
      <c r="E4" s="9">
        <v>2.8799999999999999E-2</v>
      </c>
      <c r="F4" s="2" t="s">
        <v>90</v>
      </c>
    </row>
    <row r="5" spans="1:6" ht="15">
      <c r="A5" s="8">
        <v>2025</v>
      </c>
      <c r="B5" s="21">
        <v>3</v>
      </c>
      <c r="C5" s="2" t="s">
        <v>436</v>
      </c>
      <c r="D5" s="7">
        <v>4282.66</v>
      </c>
      <c r="E5" s="9">
        <v>2.52E-2</v>
      </c>
      <c r="F5" s="2" t="s">
        <v>90</v>
      </c>
    </row>
    <row r="6" spans="1:6" ht="30">
      <c r="A6" s="8">
        <v>2025</v>
      </c>
      <c r="B6" s="21">
        <v>4</v>
      </c>
      <c r="C6" s="2" t="s">
        <v>437</v>
      </c>
      <c r="D6" s="7">
        <v>3070.69</v>
      </c>
      <c r="E6" s="9">
        <v>1.8100000000000002E-2</v>
      </c>
      <c r="F6" s="2" t="s">
        <v>90</v>
      </c>
    </row>
    <row r="7" spans="1:6" ht="15">
      <c r="A7" s="8">
        <v>2025</v>
      </c>
      <c r="B7" s="21">
        <v>5</v>
      </c>
      <c r="C7" s="2" t="s">
        <v>438</v>
      </c>
      <c r="D7" s="7">
        <v>3002.16</v>
      </c>
      <c r="E7" s="9">
        <v>1.77E-2</v>
      </c>
      <c r="F7" s="2" t="s">
        <v>90</v>
      </c>
    </row>
    <row r="8" spans="1:6" ht="15">
      <c r="A8" s="22">
        <v>2025</v>
      </c>
      <c r="B8" s="18" t="s">
        <v>398</v>
      </c>
      <c r="C8" s="18" t="s">
        <v>439</v>
      </c>
      <c r="D8" s="19">
        <v>20531.580000000002</v>
      </c>
      <c r="E8" s="20">
        <v>0.1208</v>
      </c>
      <c r="F8" s="18" t="s">
        <v>90</v>
      </c>
    </row>
    <row r="9" spans="1:6" ht="15">
      <c r="A9" s="8">
        <v>2024</v>
      </c>
      <c r="B9" s="21">
        <v>1</v>
      </c>
      <c r="C9" s="2" t="s">
        <v>436</v>
      </c>
      <c r="D9" s="7">
        <v>1443.27</v>
      </c>
      <c r="E9" s="9">
        <v>3.6700000000000003E-2</v>
      </c>
      <c r="F9" s="2" t="s">
        <v>90</v>
      </c>
    </row>
    <row r="10" spans="1:6" ht="15">
      <c r="A10" s="8">
        <v>2024</v>
      </c>
      <c r="B10" s="21">
        <v>2</v>
      </c>
      <c r="C10" s="2" t="s">
        <v>438</v>
      </c>
      <c r="D10" s="7">
        <v>1066.81</v>
      </c>
      <c r="E10" s="9">
        <v>2.7199999999999998E-2</v>
      </c>
      <c r="F10" s="2" t="s">
        <v>90</v>
      </c>
    </row>
    <row r="11" spans="1:6" ht="15">
      <c r="A11" s="8">
        <v>2024</v>
      </c>
      <c r="B11" s="21">
        <v>3</v>
      </c>
      <c r="C11" s="2" t="s">
        <v>440</v>
      </c>
      <c r="D11" s="7">
        <v>884.94</v>
      </c>
      <c r="E11" s="9">
        <v>2.2499999999999999E-2</v>
      </c>
      <c r="F11" s="2" t="s">
        <v>90</v>
      </c>
    </row>
    <row r="12" spans="1:6" ht="15">
      <c r="A12" s="8">
        <v>2024</v>
      </c>
      <c r="B12" s="21">
        <v>4</v>
      </c>
      <c r="C12" s="2" t="s">
        <v>441</v>
      </c>
      <c r="D12" s="7">
        <v>780.02</v>
      </c>
      <c r="E12" s="9">
        <v>1.9900000000000001E-2</v>
      </c>
      <c r="F12" s="2" t="s">
        <v>90</v>
      </c>
    </row>
    <row r="13" spans="1:6" ht="15">
      <c r="A13" s="8">
        <v>2024</v>
      </c>
      <c r="B13" s="21">
        <v>5</v>
      </c>
      <c r="C13" s="2" t="s">
        <v>442</v>
      </c>
      <c r="D13" s="7">
        <v>715.27</v>
      </c>
      <c r="E13" s="9">
        <v>1.8200000000000001E-2</v>
      </c>
      <c r="F13" s="2" t="s">
        <v>90</v>
      </c>
    </row>
    <row r="14" spans="1:6" ht="15">
      <c r="A14" s="22">
        <v>2024</v>
      </c>
      <c r="B14" s="18" t="s">
        <v>398</v>
      </c>
      <c r="C14" s="18" t="s">
        <v>439</v>
      </c>
      <c r="D14" s="19">
        <v>4890.3100000000004</v>
      </c>
      <c r="E14" s="20">
        <v>0.1245</v>
      </c>
      <c r="F14" s="18" t="s">
        <v>90</v>
      </c>
    </row>
    <row r="15" spans="1:6" ht="15">
      <c r="A15" s="8">
        <v>2023</v>
      </c>
      <c r="B15" s="21">
        <v>1</v>
      </c>
      <c r="C15" s="2" t="s">
        <v>443</v>
      </c>
      <c r="D15" s="7">
        <v>509.5</v>
      </c>
      <c r="E15" s="9">
        <v>3.2000000000000001E-2</v>
      </c>
      <c r="F15" s="2" t="s">
        <v>90</v>
      </c>
    </row>
    <row r="16" spans="1:6" ht="15">
      <c r="A16" s="8">
        <v>2023</v>
      </c>
      <c r="B16" s="21">
        <v>2</v>
      </c>
      <c r="C16" s="2" t="s">
        <v>436</v>
      </c>
      <c r="D16" s="7">
        <v>410</v>
      </c>
      <c r="E16" s="9">
        <v>2.58E-2</v>
      </c>
      <c r="F16" s="2" t="s">
        <v>90</v>
      </c>
    </row>
    <row r="17" spans="1:8" ht="15">
      <c r="A17" s="8">
        <v>2023</v>
      </c>
      <c r="B17" s="21">
        <v>3</v>
      </c>
      <c r="C17" s="2" t="s">
        <v>441</v>
      </c>
      <c r="D17" s="7">
        <v>408.16</v>
      </c>
      <c r="E17" s="9">
        <v>2.5600000000000001E-2</v>
      </c>
      <c r="F17" s="2" t="s">
        <v>90</v>
      </c>
    </row>
    <row r="18" spans="1:8" ht="15">
      <c r="A18" s="8">
        <v>2023</v>
      </c>
      <c r="B18" s="21">
        <v>4</v>
      </c>
      <c r="C18" s="2" t="s">
        <v>438</v>
      </c>
      <c r="D18" s="7">
        <v>360.69</v>
      </c>
      <c r="E18" s="9">
        <v>2.2700000000000001E-2</v>
      </c>
      <c r="F18" s="2" t="s">
        <v>90</v>
      </c>
    </row>
    <row r="19" spans="1:8" ht="15">
      <c r="A19" s="8">
        <v>2023</v>
      </c>
      <c r="B19" s="21">
        <v>5</v>
      </c>
      <c r="C19" s="2" t="s">
        <v>442</v>
      </c>
      <c r="D19" s="7">
        <v>331.18</v>
      </c>
      <c r="E19" s="9">
        <v>2.0799999999999999E-2</v>
      </c>
      <c r="F19" s="2" t="s">
        <v>90</v>
      </c>
    </row>
    <row r="20" spans="1:8" ht="15">
      <c r="A20" s="22">
        <v>2023</v>
      </c>
      <c r="B20" s="18" t="s">
        <v>398</v>
      </c>
      <c r="C20" s="18" t="s">
        <v>439</v>
      </c>
      <c r="D20" s="19">
        <v>2019.53</v>
      </c>
      <c r="E20" s="20">
        <v>0.12690000000000001</v>
      </c>
      <c r="F20" s="18" t="s">
        <v>90</v>
      </c>
    </row>
    <row r="21" spans="1:8" ht="26" customHeight="1">
      <c r="A21" s="87" t="s">
        <v>444</v>
      </c>
      <c r="B21" s="83"/>
      <c r="C21" s="83"/>
      <c r="D21" s="83"/>
      <c r="E21" s="83"/>
      <c r="F21" s="83"/>
    </row>
    <row r="23" spans="1:8" ht="26" customHeight="1">
      <c r="A23" s="88" t="s">
        <v>445</v>
      </c>
      <c r="B23" s="83"/>
      <c r="C23" s="83"/>
      <c r="D23" s="83"/>
      <c r="E23" s="83"/>
      <c r="F23" s="83"/>
      <c r="G23" s="83"/>
      <c r="H23" s="83"/>
    </row>
    <row r="24" spans="1:8" ht="30" customHeight="1">
      <c r="A24" s="4" t="s">
        <v>446</v>
      </c>
      <c r="B24" s="4" t="s">
        <v>447</v>
      </c>
      <c r="C24" s="4" t="s">
        <v>422</v>
      </c>
      <c r="D24" s="4" t="s">
        <v>448</v>
      </c>
      <c r="E24" s="4" t="s">
        <v>423</v>
      </c>
      <c r="F24" s="4" t="s">
        <v>449</v>
      </c>
      <c r="G24" s="4" t="s">
        <v>424</v>
      </c>
      <c r="H24" s="4" t="s">
        <v>157</v>
      </c>
    </row>
    <row r="25" spans="1:8" ht="15">
      <c r="A25" s="2" t="s">
        <v>450</v>
      </c>
      <c r="B25" s="7">
        <v>105569.8</v>
      </c>
      <c r="C25" s="9">
        <v>0.31530000000000002</v>
      </c>
      <c r="D25" s="7">
        <v>130536.1</v>
      </c>
      <c r="E25" s="9">
        <v>0.28649999999999998</v>
      </c>
      <c r="F25" s="7">
        <v>200099.9</v>
      </c>
      <c r="G25" s="9">
        <v>0.37669999999999998</v>
      </c>
      <c r="H25" s="2" t="s">
        <v>90</v>
      </c>
    </row>
    <row r="26" spans="1:8" ht="15">
      <c r="A26" s="2" t="s">
        <v>451</v>
      </c>
      <c r="B26" s="7">
        <v>28699.17</v>
      </c>
      <c r="C26" s="9">
        <v>0.48470000000000002</v>
      </c>
      <c r="D26" s="7">
        <v>37483.06</v>
      </c>
      <c r="E26" s="9">
        <v>0.47949999999999998</v>
      </c>
      <c r="F26" s="7">
        <v>49348.3</v>
      </c>
      <c r="G26" s="9">
        <v>0.46489999999999998</v>
      </c>
      <c r="H26" s="2" t="s">
        <v>90</v>
      </c>
    </row>
    <row r="27" spans="1:8" ht="15">
      <c r="A27" s="2" t="s">
        <v>452</v>
      </c>
      <c r="B27" s="7">
        <v>5011.26</v>
      </c>
      <c r="C27" s="9">
        <v>0.33479999999999999</v>
      </c>
      <c r="D27" s="7">
        <v>10320.1</v>
      </c>
      <c r="E27" s="9">
        <v>0.3876</v>
      </c>
      <c r="F27" s="7">
        <v>33749.06</v>
      </c>
      <c r="G27" s="9">
        <v>0.52829999999999999</v>
      </c>
      <c r="H27" s="2" t="s">
        <v>90</v>
      </c>
    </row>
    <row r="28" spans="1:8" ht="15">
      <c r="A28" s="2" t="s">
        <v>453</v>
      </c>
      <c r="B28" s="7">
        <v>5398.83</v>
      </c>
      <c r="C28" s="9">
        <v>0.50449999999999995</v>
      </c>
      <c r="D28" s="7">
        <v>5550.03</v>
      </c>
      <c r="E28" s="9">
        <v>0.443</v>
      </c>
      <c r="F28" s="7">
        <v>25818.79</v>
      </c>
      <c r="G28" s="9">
        <v>0.4078</v>
      </c>
      <c r="H28" s="2" t="s">
        <v>90</v>
      </c>
    </row>
    <row r="29" spans="1:8" ht="15">
      <c r="A29" s="18" t="s">
        <v>454</v>
      </c>
      <c r="B29" s="19">
        <v>36169.769999999997</v>
      </c>
      <c r="C29" s="20">
        <v>0.4098</v>
      </c>
      <c r="D29" s="19">
        <v>45972.32</v>
      </c>
      <c r="E29" s="20">
        <v>0.3992</v>
      </c>
      <c r="F29" s="19">
        <v>77254.009999999995</v>
      </c>
      <c r="G29" s="20">
        <v>0.44440000000000002</v>
      </c>
      <c r="H29" s="18" t="s">
        <v>90</v>
      </c>
    </row>
    <row r="30" spans="1:8" ht="15">
      <c r="A30" s="18" t="s">
        <v>455</v>
      </c>
      <c r="B30" s="19">
        <v>15913.44</v>
      </c>
      <c r="C30" s="20">
        <v>0.44750000000000001</v>
      </c>
      <c r="D30" s="19">
        <v>39277.07</v>
      </c>
      <c r="E30" s="20">
        <v>0.57220000000000004</v>
      </c>
      <c r="F30" s="19">
        <v>169926.93</v>
      </c>
      <c r="G30" s="20">
        <v>0.60440000000000005</v>
      </c>
      <c r="H30" s="18" t="s">
        <v>90</v>
      </c>
    </row>
    <row r="31" spans="1:8" ht="26" customHeight="1">
      <c r="A31" s="87" t="s">
        <v>456</v>
      </c>
      <c r="B31" s="83"/>
      <c r="C31" s="83"/>
      <c r="D31" s="83"/>
      <c r="E31" s="83"/>
      <c r="F31" s="83"/>
      <c r="G31" s="83"/>
      <c r="H31" s="83"/>
    </row>
    <row r="33" spans="1:8" ht="26" customHeight="1">
      <c r="A33" s="88" t="s">
        <v>457</v>
      </c>
      <c r="B33" s="83"/>
      <c r="C33" s="83"/>
      <c r="D33" s="83"/>
      <c r="E33" s="83"/>
      <c r="F33" s="83"/>
      <c r="G33" s="83"/>
      <c r="H33" s="83"/>
    </row>
    <row r="34" spans="1:8" ht="30" customHeight="1">
      <c r="A34" s="4" t="s">
        <v>458</v>
      </c>
      <c r="B34" s="4" t="s">
        <v>459</v>
      </c>
      <c r="C34" s="4" t="s">
        <v>460</v>
      </c>
      <c r="D34" s="4" t="s">
        <v>461</v>
      </c>
      <c r="E34" s="4"/>
      <c r="F34" s="4"/>
      <c r="G34" s="4"/>
      <c r="H34" s="4" t="s">
        <v>157</v>
      </c>
    </row>
    <row r="35" spans="1:8" ht="15">
      <c r="A35" s="2" t="s">
        <v>451</v>
      </c>
      <c r="B35" s="9">
        <v>0.1449</v>
      </c>
      <c r="C35" s="9">
        <v>0.1133</v>
      </c>
      <c r="D35" s="9">
        <v>0.1109</v>
      </c>
      <c r="E35" s="2"/>
      <c r="F35" s="2"/>
      <c r="G35" s="2"/>
      <c r="H35" s="2" t="s">
        <v>90</v>
      </c>
    </row>
    <row r="36" spans="1:8" ht="15">
      <c r="A36" s="2" t="s">
        <v>450</v>
      </c>
      <c r="B36" s="9">
        <v>0.21990000000000001</v>
      </c>
      <c r="C36" s="9">
        <v>0.30349999999999999</v>
      </c>
      <c r="D36" s="9">
        <v>0.29289999999999999</v>
      </c>
      <c r="E36" s="2"/>
      <c r="F36" s="2"/>
      <c r="G36" s="2"/>
      <c r="H36" s="2" t="s">
        <v>90</v>
      </c>
    </row>
    <row r="37" spans="1:8" ht="15">
      <c r="A37" s="2" t="s">
        <v>452</v>
      </c>
      <c r="B37" s="9">
        <v>7.2499999999999995E-2</v>
      </c>
      <c r="C37" s="9">
        <v>8.1799999999999998E-2</v>
      </c>
      <c r="D37" s="9">
        <v>9.7000000000000003E-2</v>
      </c>
      <c r="E37" s="2"/>
      <c r="F37" s="2"/>
      <c r="G37" s="2"/>
      <c r="H37" s="2" t="s">
        <v>90</v>
      </c>
    </row>
    <row r="38" spans="1:8" ht="15">
      <c r="A38" s="2" t="s">
        <v>453</v>
      </c>
      <c r="B38" s="9">
        <v>5.04E-2</v>
      </c>
      <c r="C38" s="9">
        <v>5.3600000000000002E-2</v>
      </c>
      <c r="D38" s="9">
        <v>6.2E-2</v>
      </c>
      <c r="E38" s="2"/>
      <c r="F38" s="2"/>
      <c r="G38" s="2"/>
      <c r="H38" s="2" t="s">
        <v>90</v>
      </c>
    </row>
    <row r="39" spans="1:8" ht="15">
      <c r="A39" s="18" t="s">
        <v>462</v>
      </c>
      <c r="B39" s="20">
        <v>0.12189999999999999</v>
      </c>
      <c r="C39" s="20">
        <v>0.1381</v>
      </c>
      <c r="D39" s="20">
        <v>0.14069999999999999</v>
      </c>
      <c r="E39" s="18"/>
      <c r="F39" s="18"/>
      <c r="G39" s="18"/>
      <c r="H39" s="18" t="s">
        <v>90</v>
      </c>
    </row>
    <row r="40" spans="1:8" ht="15">
      <c r="A40" s="18" t="s">
        <v>455</v>
      </c>
      <c r="B40" s="20">
        <v>6.13E-2</v>
      </c>
      <c r="C40" s="20">
        <v>6.5500000000000003E-2</v>
      </c>
      <c r="D40" s="20">
        <v>5.1299999999999998E-2</v>
      </c>
      <c r="E40" s="18"/>
      <c r="F40" s="18"/>
      <c r="G40" s="18"/>
      <c r="H40" s="18" t="s">
        <v>90</v>
      </c>
    </row>
    <row r="41" spans="1:8" ht="15" customHeight="1">
      <c r="A41" s="87" t="s">
        <v>463</v>
      </c>
      <c r="B41" s="83"/>
      <c r="C41" s="83"/>
      <c r="D41" s="83"/>
      <c r="E41" s="83"/>
      <c r="F41" s="83"/>
      <c r="G41" s="83"/>
      <c r="H41" s="83"/>
    </row>
    <row r="43" spans="1:8" ht="26" customHeight="1">
      <c r="A43" s="88" t="s">
        <v>464</v>
      </c>
      <c r="B43" s="83"/>
      <c r="C43" s="83"/>
      <c r="D43" s="83"/>
      <c r="E43" s="83"/>
      <c r="F43" s="83"/>
      <c r="G43" s="83"/>
      <c r="H43" s="83"/>
    </row>
    <row r="44" spans="1:8" ht="30" customHeight="1">
      <c r="A44" s="4" t="s">
        <v>465</v>
      </c>
      <c r="B44" s="4" t="s">
        <v>466</v>
      </c>
      <c r="C44" s="4" t="s">
        <v>467</v>
      </c>
      <c r="D44" s="4" t="s">
        <v>468</v>
      </c>
      <c r="E44" s="4" t="s">
        <v>469</v>
      </c>
      <c r="F44" s="4"/>
      <c r="G44" s="4"/>
      <c r="H44" s="4" t="s">
        <v>157</v>
      </c>
    </row>
    <row r="45" spans="1:8" ht="15">
      <c r="A45" s="2" t="s">
        <v>470</v>
      </c>
      <c r="B45" s="7">
        <v>792.03</v>
      </c>
      <c r="C45" s="9">
        <v>0.12790000000000001</v>
      </c>
      <c r="D45" s="7">
        <v>39.6</v>
      </c>
      <c r="E45" s="2" t="s">
        <v>471</v>
      </c>
      <c r="F45" s="2"/>
      <c r="G45" s="2"/>
      <c r="H45" s="2" t="s">
        <v>90</v>
      </c>
    </row>
    <row r="46" spans="1:8" ht="15">
      <c r="A46" s="2" t="s">
        <v>472</v>
      </c>
      <c r="B46" s="7">
        <v>287.3</v>
      </c>
      <c r="C46" s="9">
        <v>4.6399999999999997E-2</v>
      </c>
      <c r="D46" s="7">
        <v>14.37</v>
      </c>
      <c r="E46" s="2" t="s">
        <v>471</v>
      </c>
      <c r="F46" s="2"/>
      <c r="G46" s="2"/>
      <c r="H46" s="2" t="s">
        <v>90</v>
      </c>
    </row>
    <row r="47" spans="1:8" ht="15">
      <c r="A47" s="2" t="s">
        <v>473</v>
      </c>
      <c r="B47" s="7">
        <v>250</v>
      </c>
      <c r="C47" s="9">
        <v>4.0399999999999998E-2</v>
      </c>
      <c r="D47" s="7">
        <v>12.5</v>
      </c>
      <c r="E47" s="2" t="s">
        <v>471</v>
      </c>
      <c r="F47" s="2"/>
      <c r="G47" s="2"/>
      <c r="H47" s="2" t="s">
        <v>90</v>
      </c>
    </row>
    <row r="48" spans="1:8" ht="15">
      <c r="A48" s="2" t="s">
        <v>474</v>
      </c>
      <c r="B48" s="7">
        <v>244.04</v>
      </c>
      <c r="C48" s="9">
        <v>3.9399999999999998E-2</v>
      </c>
      <c r="D48" s="7">
        <v>12.2</v>
      </c>
      <c r="E48" s="2" t="s">
        <v>471</v>
      </c>
      <c r="F48" s="2"/>
      <c r="G48" s="2"/>
      <c r="H48" s="2" t="s">
        <v>90</v>
      </c>
    </row>
    <row r="49" spans="1:8" ht="15">
      <c r="A49" s="2" t="s">
        <v>475</v>
      </c>
      <c r="B49" s="7">
        <v>196.41</v>
      </c>
      <c r="C49" s="9">
        <v>3.1699999999999999E-2</v>
      </c>
      <c r="D49" s="7">
        <v>9.82</v>
      </c>
      <c r="E49" s="2" t="s">
        <v>471</v>
      </c>
      <c r="F49" s="2"/>
      <c r="G49" s="2"/>
      <c r="H49" s="2" t="s">
        <v>90</v>
      </c>
    </row>
    <row r="50" spans="1:8" ht="15">
      <c r="A50" s="18" t="s">
        <v>398</v>
      </c>
      <c r="B50" s="19">
        <v>1769.78</v>
      </c>
      <c r="C50" s="20">
        <v>0.28589999999999999</v>
      </c>
      <c r="D50" s="19">
        <v>88.49</v>
      </c>
      <c r="E50" s="18" t="s">
        <v>147</v>
      </c>
      <c r="F50" s="18"/>
      <c r="G50" s="18"/>
      <c r="H50" s="18" t="s">
        <v>90</v>
      </c>
    </row>
    <row r="51" spans="1:8" ht="15" customHeight="1">
      <c r="A51" s="85" t="s">
        <v>476</v>
      </c>
      <c r="B51" s="83"/>
      <c r="C51" s="83"/>
      <c r="D51" s="83"/>
      <c r="E51" s="83"/>
      <c r="F51" s="83"/>
      <c r="G51" s="83"/>
      <c r="H51" s="83"/>
    </row>
  </sheetData>
  <mergeCells count="8">
    <mergeCell ref="A43:H43"/>
    <mergeCell ref="A1:F1"/>
    <mergeCell ref="A51:H51"/>
    <mergeCell ref="A41:H41"/>
    <mergeCell ref="A33:H33"/>
    <mergeCell ref="A23:H23"/>
    <mergeCell ref="A21:F21"/>
    <mergeCell ref="A31:H31"/>
  </mergeCells>
  <phoneticPr fontId="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G96"/>
  <sheetViews>
    <sheetView showGridLines="0" workbookViewId="0"/>
  </sheetViews>
  <sheetFormatPr baseColWidth="10" defaultColWidth="8.83203125" defaultRowHeight="14"/>
  <cols>
    <col min="1" max="1" width="34" customWidth="1"/>
    <col min="2" max="2" width="22" customWidth="1"/>
    <col min="3" max="3" width="20" customWidth="1"/>
    <col min="4" max="4" width="22" customWidth="1"/>
    <col min="5" max="5" width="6" customWidth="1"/>
    <col min="6" max="6" width="8" customWidth="1"/>
    <col min="7" max="7" width="22" customWidth="1"/>
  </cols>
  <sheetData>
    <row r="1" spans="1:6" ht="26" customHeight="1">
      <c r="A1" s="82" t="s">
        <v>477</v>
      </c>
      <c r="B1" s="83"/>
      <c r="C1" s="83"/>
      <c r="D1" s="83"/>
      <c r="E1" s="83"/>
      <c r="F1" s="83"/>
    </row>
    <row r="2" spans="1:6" ht="30" customHeight="1">
      <c r="A2" s="4" t="s">
        <v>430</v>
      </c>
      <c r="B2" s="4" t="s">
        <v>478</v>
      </c>
      <c r="C2" s="4" t="s">
        <v>479</v>
      </c>
      <c r="D2" s="4" t="s">
        <v>480</v>
      </c>
      <c r="E2" s="4" t="s">
        <v>481</v>
      </c>
      <c r="F2" s="4" t="s">
        <v>482</v>
      </c>
    </row>
    <row r="3" spans="1:6" ht="15">
      <c r="A3" s="23">
        <v>1</v>
      </c>
      <c r="B3" s="24" t="s">
        <v>25</v>
      </c>
      <c r="C3" s="25">
        <v>8671.4964</v>
      </c>
      <c r="D3" s="26">
        <v>0.23821600000000001</v>
      </c>
      <c r="E3" s="25">
        <v>8671.4964</v>
      </c>
      <c r="F3" s="26">
        <v>0.214395</v>
      </c>
    </row>
    <row r="4" spans="1:6" ht="15">
      <c r="A4" s="8">
        <v>2</v>
      </c>
      <c r="B4" s="2" t="s">
        <v>483</v>
      </c>
      <c r="C4" s="27">
        <v>3982.86</v>
      </c>
      <c r="D4" s="28">
        <v>0.109414</v>
      </c>
      <c r="E4" s="27">
        <v>3982.86</v>
      </c>
      <c r="F4" s="28">
        <v>9.8472000000000004E-2</v>
      </c>
    </row>
    <row r="5" spans="1:6" ht="15">
      <c r="A5" s="8">
        <v>3</v>
      </c>
      <c r="B5" s="2" t="s">
        <v>484</v>
      </c>
      <c r="C5" s="27">
        <v>2770.6770000000001</v>
      </c>
      <c r="D5" s="28">
        <v>7.6114000000000001E-2</v>
      </c>
      <c r="E5" s="27">
        <v>2770.6770000000001</v>
      </c>
      <c r="F5" s="28">
        <v>6.8501999999999993E-2</v>
      </c>
    </row>
    <row r="6" spans="1:6" ht="15">
      <c r="A6" s="8">
        <v>4</v>
      </c>
      <c r="B6" s="2" t="s">
        <v>485</v>
      </c>
      <c r="C6" s="27">
        <v>2260.5408000000002</v>
      </c>
      <c r="D6" s="28">
        <v>6.2100000000000002E-2</v>
      </c>
      <c r="E6" s="27">
        <v>2260.5408000000002</v>
      </c>
      <c r="F6" s="28">
        <v>5.5890000000000002E-2</v>
      </c>
    </row>
    <row r="7" spans="1:6" ht="15">
      <c r="A7" s="8">
        <v>5</v>
      </c>
      <c r="B7" s="2" t="s">
        <v>486</v>
      </c>
      <c r="C7" s="27">
        <v>1610.595</v>
      </c>
      <c r="D7" s="28">
        <v>4.4245E-2</v>
      </c>
      <c r="E7" s="27">
        <v>1610.595</v>
      </c>
      <c r="F7" s="28">
        <v>3.9820000000000001E-2</v>
      </c>
    </row>
    <row r="8" spans="1:6" ht="15">
      <c r="A8" s="8">
        <v>6</v>
      </c>
      <c r="B8" s="2" t="s">
        <v>487</v>
      </c>
      <c r="C8" s="27">
        <v>1550.6315999999999</v>
      </c>
      <c r="D8" s="28">
        <v>4.2597999999999997E-2</v>
      </c>
      <c r="E8" s="27">
        <v>1550.6315999999999</v>
      </c>
      <c r="F8" s="28">
        <v>3.8337999999999997E-2</v>
      </c>
    </row>
    <row r="9" spans="1:6" ht="15">
      <c r="A9" s="8">
        <v>7</v>
      </c>
      <c r="B9" s="2" t="s">
        <v>488</v>
      </c>
      <c r="C9" s="27">
        <v>1511.4204</v>
      </c>
      <c r="D9" s="28">
        <v>4.1520000000000001E-2</v>
      </c>
      <c r="E9" s="27">
        <v>1511.4204</v>
      </c>
      <c r="F9" s="28">
        <v>3.7367999999999998E-2</v>
      </c>
    </row>
    <row r="10" spans="1:6" ht="15">
      <c r="A10" s="8">
        <v>8</v>
      </c>
      <c r="B10" s="2" t="s">
        <v>489</v>
      </c>
      <c r="C10" s="27">
        <v>1392.8040000000001</v>
      </c>
      <c r="D10" s="28">
        <v>3.8261999999999997E-2</v>
      </c>
      <c r="E10" s="27">
        <v>1392.8040000000001</v>
      </c>
      <c r="F10" s="28">
        <v>3.4436000000000001E-2</v>
      </c>
    </row>
    <row r="11" spans="1:6" ht="15">
      <c r="A11" s="8">
        <v>9</v>
      </c>
      <c r="B11" s="2" t="s">
        <v>490</v>
      </c>
      <c r="C11" s="27">
        <v>1160.2331999999999</v>
      </c>
      <c r="D11" s="28">
        <v>3.1872999999999999E-2</v>
      </c>
      <c r="E11" s="27">
        <v>1160.2331999999999</v>
      </c>
      <c r="F11" s="28">
        <v>2.8686E-2</v>
      </c>
    </row>
    <row r="12" spans="1:6" ht="15">
      <c r="A12" s="8">
        <v>10</v>
      </c>
      <c r="B12" s="2" t="s">
        <v>491</v>
      </c>
      <c r="C12" s="27">
        <v>1117.4939999999999</v>
      </c>
      <c r="D12" s="28">
        <v>3.0699000000000001E-2</v>
      </c>
      <c r="E12" s="27">
        <v>1117.4939999999999</v>
      </c>
      <c r="F12" s="28">
        <v>2.7629000000000001E-2</v>
      </c>
    </row>
    <row r="13" spans="1:6" ht="15">
      <c r="A13" s="8">
        <v>11</v>
      </c>
      <c r="B13" s="2" t="s">
        <v>492</v>
      </c>
      <c r="C13" s="27">
        <v>947.70899999999995</v>
      </c>
      <c r="D13" s="28">
        <v>2.6034999999999999E-2</v>
      </c>
      <c r="E13" s="27">
        <v>947.70899999999995</v>
      </c>
      <c r="F13" s="28">
        <v>2.3431E-2</v>
      </c>
    </row>
    <row r="14" spans="1:6" ht="15">
      <c r="A14" s="8">
        <v>12</v>
      </c>
      <c r="B14" s="2" t="s">
        <v>493</v>
      </c>
      <c r="C14" s="27">
        <v>767.66759999999999</v>
      </c>
      <c r="D14" s="28">
        <v>2.1089E-2</v>
      </c>
      <c r="E14" s="27">
        <v>767.66759999999999</v>
      </c>
      <c r="F14" s="28">
        <v>1.898E-2</v>
      </c>
    </row>
    <row r="15" spans="1:6" ht="15">
      <c r="A15" s="8">
        <v>13</v>
      </c>
      <c r="B15" s="2" t="s">
        <v>494</v>
      </c>
      <c r="C15" s="27">
        <v>658.32479999999998</v>
      </c>
      <c r="D15" s="28">
        <v>1.8085E-2</v>
      </c>
      <c r="E15" s="27">
        <v>658.32479999999998</v>
      </c>
      <c r="F15" s="28">
        <v>1.6275999999999999E-2</v>
      </c>
    </row>
    <row r="16" spans="1:6" ht="15">
      <c r="A16" s="8">
        <v>14</v>
      </c>
      <c r="B16" s="2" t="s">
        <v>495</v>
      </c>
      <c r="C16" s="27">
        <v>593.04420000000005</v>
      </c>
      <c r="D16" s="28">
        <v>1.6292000000000001E-2</v>
      </c>
      <c r="E16" s="27">
        <v>593.04420000000005</v>
      </c>
      <c r="F16" s="28">
        <v>1.4662E-2</v>
      </c>
    </row>
    <row r="17" spans="1:6" ht="15">
      <c r="A17" s="8">
        <v>15</v>
      </c>
      <c r="B17" s="2" t="s">
        <v>496</v>
      </c>
      <c r="C17" s="27">
        <v>484.54559999999998</v>
      </c>
      <c r="D17" s="28">
        <v>1.3311E-2</v>
      </c>
      <c r="E17" s="27">
        <v>484.54559999999998</v>
      </c>
      <c r="F17" s="28">
        <v>1.1979999999999999E-2</v>
      </c>
    </row>
    <row r="18" spans="1:6" ht="15">
      <c r="A18" s="8">
        <v>16</v>
      </c>
      <c r="B18" s="2" t="s">
        <v>497</v>
      </c>
      <c r="C18" s="27">
        <v>469.14839999999998</v>
      </c>
      <c r="D18" s="28">
        <v>1.2888E-2</v>
      </c>
      <c r="E18" s="27">
        <v>469.14839999999998</v>
      </c>
      <c r="F18" s="28">
        <v>1.1599E-2</v>
      </c>
    </row>
    <row r="19" spans="1:6" ht="15">
      <c r="A19" s="8">
        <v>17</v>
      </c>
      <c r="B19" s="2" t="s">
        <v>498</v>
      </c>
      <c r="C19" s="27">
        <v>445.28399999999999</v>
      </c>
      <c r="D19" s="28">
        <v>1.2232E-2</v>
      </c>
      <c r="E19" s="27">
        <v>445.28399999999999</v>
      </c>
      <c r="F19" s="28">
        <v>1.1009E-2</v>
      </c>
    </row>
    <row r="20" spans="1:6" ht="15">
      <c r="A20" s="8">
        <v>18</v>
      </c>
      <c r="B20" s="2" t="s">
        <v>499</v>
      </c>
      <c r="C20" s="27">
        <v>434.2842</v>
      </c>
      <c r="D20" s="28">
        <v>1.193E-2</v>
      </c>
      <c r="E20" s="27">
        <v>434.2842</v>
      </c>
      <c r="F20" s="28">
        <v>1.0737E-2</v>
      </c>
    </row>
    <row r="21" spans="1:6" ht="15">
      <c r="A21" s="8">
        <v>19</v>
      </c>
      <c r="B21" s="2" t="s">
        <v>500</v>
      </c>
      <c r="C21" s="27">
        <v>432.02879999999999</v>
      </c>
      <c r="D21" s="28">
        <v>1.1868E-2</v>
      </c>
      <c r="E21" s="27">
        <v>432.02879999999999</v>
      </c>
      <c r="F21" s="28">
        <v>1.0682000000000001E-2</v>
      </c>
    </row>
    <row r="22" spans="1:6" ht="15">
      <c r="A22" s="8">
        <v>20</v>
      </c>
      <c r="B22" s="2" t="s">
        <v>501</v>
      </c>
      <c r="C22" s="27">
        <v>370.84320000000002</v>
      </c>
      <c r="D22" s="28">
        <v>1.0187E-2</v>
      </c>
      <c r="E22" s="27">
        <v>370.84320000000002</v>
      </c>
      <c r="F22" s="28">
        <v>9.1690000000000001E-3</v>
      </c>
    </row>
    <row r="23" spans="1:6" ht="15">
      <c r="A23" s="8">
        <v>21</v>
      </c>
      <c r="B23" s="2" t="s">
        <v>502</v>
      </c>
      <c r="C23" s="27">
        <v>370.84320000000002</v>
      </c>
      <c r="D23" s="28">
        <v>1.0187E-2</v>
      </c>
      <c r="E23" s="27">
        <v>370.84320000000002</v>
      </c>
      <c r="F23" s="28">
        <v>9.1690000000000001E-3</v>
      </c>
    </row>
    <row r="24" spans="1:6" ht="15">
      <c r="A24" s="8">
        <v>22</v>
      </c>
      <c r="B24" s="2" t="s">
        <v>503</v>
      </c>
      <c r="C24" s="27">
        <v>338.86439999999999</v>
      </c>
      <c r="D24" s="28">
        <v>9.3089999999999996E-3</v>
      </c>
      <c r="E24" s="27">
        <v>338.86439999999999</v>
      </c>
      <c r="F24" s="28">
        <v>8.378E-3</v>
      </c>
    </row>
    <row r="25" spans="1:6" ht="15">
      <c r="A25" s="8">
        <v>23</v>
      </c>
      <c r="B25" s="2" t="s">
        <v>504</v>
      </c>
      <c r="C25" s="27">
        <v>335.6388</v>
      </c>
      <c r="D25" s="28">
        <v>9.2200000000000008E-3</v>
      </c>
      <c r="E25" s="27">
        <v>335.6388</v>
      </c>
      <c r="F25" s="28">
        <v>8.2979999999999998E-3</v>
      </c>
    </row>
    <row r="26" spans="1:6" ht="15">
      <c r="A26" s="8">
        <v>24</v>
      </c>
      <c r="B26" s="2" t="s">
        <v>505</v>
      </c>
      <c r="C26" s="27">
        <v>329.4144</v>
      </c>
      <c r="D26" s="28">
        <v>9.0489999999999998E-3</v>
      </c>
      <c r="E26" s="27">
        <v>329.4144</v>
      </c>
      <c r="F26" s="28">
        <v>8.1440000000000002E-3</v>
      </c>
    </row>
    <row r="27" spans="1:6" ht="15">
      <c r="A27" s="8">
        <v>25</v>
      </c>
      <c r="B27" s="2" t="s">
        <v>506</v>
      </c>
      <c r="C27" s="27">
        <v>326.8818</v>
      </c>
      <c r="D27" s="28">
        <v>8.9800000000000001E-3</v>
      </c>
      <c r="E27" s="27">
        <v>326.8818</v>
      </c>
      <c r="F27" s="28">
        <v>8.0820000000000006E-3</v>
      </c>
    </row>
    <row r="28" spans="1:6" ht="15">
      <c r="A28" s="8">
        <v>26</v>
      </c>
      <c r="B28" s="2" t="s">
        <v>507</v>
      </c>
      <c r="C28" s="27">
        <v>315.30239999999998</v>
      </c>
      <c r="D28" s="28">
        <v>8.6619999999999996E-3</v>
      </c>
      <c r="E28" s="27">
        <v>315.30239999999998</v>
      </c>
      <c r="F28" s="28">
        <v>7.796E-3</v>
      </c>
    </row>
    <row r="29" spans="1:6" ht="15">
      <c r="A29" s="8">
        <v>27</v>
      </c>
      <c r="B29" s="2" t="s">
        <v>508</v>
      </c>
      <c r="C29" s="27">
        <v>236.2122</v>
      </c>
      <c r="D29" s="28">
        <v>6.489E-3</v>
      </c>
      <c r="E29" s="27">
        <v>236.2122</v>
      </c>
      <c r="F29" s="28">
        <v>5.8399999999999997E-3</v>
      </c>
    </row>
    <row r="30" spans="1:6" ht="15">
      <c r="A30" s="8">
        <v>28</v>
      </c>
      <c r="B30" s="2" t="s">
        <v>509</v>
      </c>
      <c r="C30" s="27">
        <v>222.2388</v>
      </c>
      <c r="D30" s="28">
        <v>6.1050000000000002E-3</v>
      </c>
      <c r="E30" s="27">
        <v>222.2388</v>
      </c>
      <c r="F30" s="28">
        <v>5.4949999999999999E-3</v>
      </c>
    </row>
    <row r="31" spans="1:6" ht="15">
      <c r="A31" s="8">
        <v>29</v>
      </c>
      <c r="B31" s="2" t="s">
        <v>510</v>
      </c>
      <c r="C31" s="27">
        <v>217.917</v>
      </c>
      <c r="D31" s="28">
        <v>5.986E-3</v>
      </c>
      <c r="E31" s="27">
        <v>217.917</v>
      </c>
      <c r="F31" s="28">
        <v>5.3880000000000004E-3</v>
      </c>
    </row>
    <row r="32" spans="1:6" ht="15">
      <c r="A32" s="8">
        <v>30</v>
      </c>
      <c r="B32" s="2" t="s">
        <v>511</v>
      </c>
      <c r="C32" s="27">
        <v>217.917</v>
      </c>
      <c r="D32" s="28">
        <v>5.986E-3</v>
      </c>
      <c r="E32" s="27">
        <v>217.917</v>
      </c>
      <c r="F32" s="28">
        <v>5.3880000000000004E-3</v>
      </c>
    </row>
    <row r="33" spans="1:6" ht="15">
      <c r="A33" s="8">
        <v>31</v>
      </c>
      <c r="B33" s="2" t="s">
        <v>512</v>
      </c>
      <c r="C33" s="27">
        <v>217.917</v>
      </c>
      <c r="D33" s="28">
        <v>5.986E-3</v>
      </c>
      <c r="E33" s="27">
        <v>217.917</v>
      </c>
      <c r="F33" s="28">
        <v>5.3880000000000004E-3</v>
      </c>
    </row>
    <row r="34" spans="1:6" ht="15">
      <c r="A34" s="8">
        <v>32</v>
      </c>
      <c r="B34" s="2" t="s">
        <v>513</v>
      </c>
      <c r="C34" s="27">
        <v>217.46340000000001</v>
      </c>
      <c r="D34" s="28">
        <v>5.9740000000000001E-3</v>
      </c>
      <c r="E34" s="27">
        <v>217.46340000000001</v>
      </c>
      <c r="F34" s="28">
        <v>5.3769999999999998E-3</v>
      </c>
    </row>
    <row r="35" spans="1:6" ht="15">
      <c r="A35" s="8">
        <v>33</v>
      </c>
      <c r="B35" s="2" t="s">
        <v>514</v>
      </c>
      <c r="C35" s="27">
        <v>216.01439999999999</v>
      </c>
      <c r="D35" s="28">
        <v>5.934E-3</v>
      </c>
      <c r="E35" s="27">
        <v>216.01439999999999</v>
      </c>
      <c r="F35" s="28">
        <v>5.3410000000000003E-3</v>
      </c>
    </row>
    <row r="36" spans="1:6" ht="15">
      <c r="A36" s="8">
        <v>34</v>
      </c>
      <c r="B36" s="2" t="s">
        <v>515</v>
      </c>
      <c r="C36" s="27">
        <v>163.43459999999999</v>
      </c>
      <c r="D36" s="28">
        <v>4.4900000000000001E-3</v>
      </c>
      <c r="E36" s="27">
        <v>163.43459999999999</v>
      </c>
      <c r="F36" s="28">
        <v>4.0410000000000003E-3</v>
      </c>
    </row>
    <row r="37" spans="1:6" ht="15">
      <c r="A37" s="8">
        <v>35</v>
      </c>
      <c r="B37" s="2" t="s">
        <v>516</v>
      </c>
      <c r="C37" s="27">
        <v>136.57140000000001</v>
      </c>
      <c r="D37" s="28">
        <v>3.7520000000000001E-3</v>
      </c>
      <c r="E37" s="27">
        <v>136.57140000000001</v>
      </c>
      <c r="F37" s="28">
        <v>3.3769999999999998E-3</v>
      </c>
    </row>
    <row r="38" spans="1:6" ht="15">
      <c r="A38" s="8">
        <v>36</v>
      </c>
      <c r="B38" s="2" t="s">
        <v>517</v>
      </c>
      <c r="C38" s="27">
        <v>136.3698</v>
      </c>
      <c r="D38" s="28">
        <v>3.7460000000000002E-3</v>
      </c>
      <c r="E38" s="27">
        <v>136.3698</v>
      </c>
      <c r="F38" s="28">
        <v>3.372E-3</v>
      </c>
    </row>
    <row r="39" spans="1:6" ht="15">
      <c r="A39" s="8">
        <v>37</v>
      </c>
      <c r="B39" s="2" t="s">
        <v>518</v>
      </c>
      <c r="C39" s="27">
        <v>122.93819999999999</v>
      </c>
      <c r="D39" s="28">
        <v>3.3769999999999998E-3</v>
      </c>
      <c r="E39" s="27">
        <v>122.93819999999999</v>
      </c>
      <c r="F39" s="28">
        <v>3.0400000000000002E-3</v>
      </c>
    </row>
    <row r="40" spans="1:6" ht="15">
      <c r="A40" s="8">
        <v>38</v>
      </c>
      <c r="B40" s="2" t="s">
        <v>519</v>
      </c>
      <c r="C40" s="27">
        <v>107.9568</v>
      </c>
      <c r="D40" s="28">
        <v>2.9659999999999999E-3</v>
      </c>
      <c r="E40" s="27">
        <v>107.9568</v>
      </c>
      <c r="F40" s="28">
        <v>2.6689999999999999E-3</v>
      </c>
    </row>
    <row r="41" spans="1:6" ht="15">
      <c r="A41" s="8">
        <v>39</v>
      </c>
      <c r="B41" s="2" t="s">
        <v>520</v>
      </c>
      <c r="C41" s="27">
        <v>101.304</v>
      </c>
      <c r="D41" s="28">
        <v>2.7829999999999999E-3</v>
      </c>
      <c r="E41" s="27">
        <v>101.304</v>
      </c>
      <c r="F41" s="28">
        <v>2.5049999999999998E-3</v>
      </c>
    </row>
    <row r="42" spans="1:6" ht="15">
      <c r="A42" s="8">
        <v>40</v>
      </c>
      <c r="B42" s="2" t="s">
        <v>521</v>
      </c>
      <c r="C42" s="27">
        <v>95.9238</v>
      </c>
      <c r="D42" s="28">
        <v>2.6350000000000002E-3</v>
      </c>
      <c r="E42" s="27">
        <v>95.9238</v>
      </c>
      <c r="F42" s="28">
        <v>2.372E-3</v>
      </c>
    </row>
    <row r="43" spans="1:6" ht="15">
      <c r="A43" s="8">
        <v>41</v>
      </c>
      <c r="B43" s="2" t="s">
        <v>522</v>
      </c>
      <c r="C43" s="27">
        <v>81.723600000000005</v>
      </c>
      <c r="D43" s="28">
        <v>2.245E-3</v>
      </c>
      <c r="E43" s="27">
        <v>81.723600000000005</v>
      </c>
      <c r="F43" s="28">
        <v>2.0209999999999998E-3</v>
      </c>
    </row>
    <row r="44" spans="1:6" ht="15">
      <c r="A44" s="8">
        <v>42</v>
      </c>
      <c r="B44" s="2" t="s">
        <v>523</v>
      </c>
      <c r="C44" s="27">
        <v>67.019400000000005</v>
      </c>
      <c r="D44" s="28">
        <v>1.841E-3</v>
      </c>
      <c r="E44" s="27">
        <v>67.019400000000005</v>
      </c>
      <c r="F44" s="28">
        <v>1.6570000000000001E-3</v>
      </c>
    </row>
    <row r="45" spans="1:6" ht="15">
      <c r="A45" s="8">
        <v>43</v>
      </c>
      <c r="B45" s="2" t="s">
        <v>524</v>
      </c>
      <c r="C45" s="27">
        <v>54.482399999999998</v>
      </c>
      <c r="D45" s="28">
        <v>1.4970000000000001E-3</v>
      </c>
      <c r="E45" s="27">
        <v>54.482399999999998</v>
      </c>
      <c r="F45" s="28">
        <v>1.3470000000000001E-3</v>
      </c>
    </row>
    <row r="46" spans="1:6" ht="15">
      <c r="A46" s="8">
        <v>44</v>
      </c>
      <c r="B46" s="2" t="s">
        <v>525</v>
      </c>
      <c r="C46" s="27">
        <v>49.480200000000004</v>
      </c>
      <c r="D46" s="28">
        <v>1.359E-3</v>
      </c>
      <c r="E46" s="27">
        <v>49.480200000000004</v>
      </c>
      <c r="F46" s="28">
        <v>1.2229999999999999E-3</v>
      </c>
    </row>
    <row r="47" spans="1:6" ht="15">
      <c r="A47" s="8">
        <v>45</v>
      </c>
      <c r="B47" s="2" t="s">
        <v>526</v>
      </c>
      <c r="C47" s="27">
        <v>45.649799999999999</v>
      </c>
      <c r="D47" s="28">
        <v>1.2539999999999999E-3</v>
      </c>
      <c r="E47" s="27">
        <v>45.649799999999999</v>
      </c>
      <c r="F47" s="28">
        <v>1.129E-3</v>
      </c>
    </row>
    <row r="48" spans="1:6" ht="15">
      <c r="A48" s="8">
        <v>46</v>
      </c>
      <c r="B48" s="2" t="s">
        <v>527</v>
      </c>
      <c r="C48" s="27">
        <v>44.679600000000001</v>
      </c>
      <c r="D48" s="28">
        <v>1.227E-3</v>
      </c>
      <c r="E48" s="27">
        <v>44.679600000000001</v>
      </c>
      <c r="F48" s="28">
        <v>1.1050000000000001E-3</v>
      </c>
    </row>
    <row r="49" spans="1:7" ht="15">
      <c r="A49" s="29">
        <v>47</v>
      </c>
      <c r="B49" s="30" t="s">
        <v>528</v>
      </c>
      <c r="C49" s="31"/>
      <c r="D49" s="31"/>
      <c r="E49" s="32">
        <v>4044.6433999999999</v>
      </c>
      <c r="F49" s="33">
        <v>0.1</v>
      </c>
    </row>
    <row r="50" spans="1:7" ht="15">
      <c r="A50" s="18"/>
      <c r="B50" s="18" t="s">
        <v>398</v>
      </c>
      <c r="C50" s="34">
        <v>36401.7906</v>
      </c>
      <c r="D50" s="35">
        <v>1</v>
      </c>
      <c r="E50" s="34">
        <v>40446.434000000001</v>
      </c>
      <c r="F50" s="35">
        <v>1</v>
      </c>
    </row>
    <row r="52" spans="1:7" ht="30" customHeight="1">
      <c r="A52" s="4" t="s">
        <v>529</v>
      </c>
      <c r="B52" s="4" t="s">
        <v>155</v>
      </c>
      <c r="C52" s="4" t="s">
        <v>530</v>
      </c>
      <c r="D52" s="4"/>
      <c r="E52" s="4"/>
      <c r="F52" s="4"/>
    </row>
    <row r="53" spans="1:7" ht="15">
      <c r="A53" s="1" t="s">
        <v>531</v>
      </c>
      <c r="B53" s="36" t="s">
        <v>532</v>
      </c>
      <c r="C53" s="90" t="s">
        <v>533</v>
      </c>
      <c r="D53" s="91"/>
      <c r="E53" s="91"/>
      <c r="F53" s="92"/>
    </row>
    <row r="54" spans="1:7" ht="15">
      <c r="A54" s="1" t="s">
        <v>534</v>
      </c>
      <c r="B54" s="37">
        <v>0.23821600000000001</v>
      </c>
      <c r="C54" s="90" t="s">
        <v>535</v>
      </c>
      <c r="D54" s="91"/>
      <c r="E54" s="91"/>
      <c r="F54" s="92"/>
    </row>
    <row r="55" spans="1:7" ht="15">
      <c r="A55" s="1" t="s">
        <v>536</v>
      </c>
      <c r="B55" s="37">
        <v>0.63545700000000005</v>
      </c>
      <c r="C55" s="90" t="s">
        <v>537</v>
      </c>
      <c r="D55" s="91"/>
      <c r="E55" s="91"/>
      <c r="F55" s="92"/>
    </row>
    <row r="56" spans="1:7" ht="15">
      <c r="A56" s="1" t="s">
        <v>538</v>
      </c>
      <c r="B56" s="37">
        <v>0.68781599999999998</v>
      </c>
      <c r="C56" s="90" t="s">
        <v>539</v>
      </c>
      <c r="D56" s="91"/>
      <c r="E56" s="91"/>
      <c r="F56" s="92"/>
    </row>
    <row r="57" spans="1:7" ht="15">
      <c r="A57" s="1" t="s">
        <v>540</v>
      </c>
      <c r="B57" s="37">
        <v>0.214395</v>
      </c>
      <c r="C57" s="90" t="s">
        <v>541</v>
      </c>
      <c r="D57" s="91"/>
      <c r="E57" s="91"/>
      <c r="F57" s="92"/>
    </row>
    <row r="58" spans="1:7" ht="15">
      <c r="A58" s="1" t="s">
        <v>542</v>
      </c>
      <c r="B58" s="37">
        <v>0.65308999999999995</v>
      </c>
      <c r="C58" s="90" t="s">
        <v>543</v>
      </c>
      <c r="D58" s="91"/>
      <c r="E58" s="91"/>
      <c r="F58" s="92"/>
    </row>
    <row r="59" spans="1:7" ht="15">
      <c r="A59" s="1" t="s">
        <v>544</v>
      </c>
      <c r="B59" s="37">
        <v>0.109414</v>
      </c>
      <c r="C59" s="90" t="s">
        <v>545</v>
      </c>
      <c r="D59" s="91"/>
      <c r="E59" s="91"/>
      <c r="F59" s="92"/>
    </row>
    <row r="60" spans="1:7" ht="15">
      <c r="A60" s="1" t="s">
        <v>546</v>
      </c>
      <c r="B60" s="38">
        <v>26028.752400000001</v>
      </c>
      <c r="C60" s="90" t="s">
        <v>547</v>
      </c>
      <c r="D60" s="91"/>
      <c r="E60" s="91"/>
      <c r="F60" s="92"/>
    </row>
    <row r="62" spans="1:7" ht="26" customHeight="1">
      <c r="A62" s="88" t="s">
        <v>548</v>
      </c>
      <c r="B62" s="83"/>
      <c r="C62" s="83"/>
      <c r="D62" s="83"/>
      <c r="E62" s="83"/>
      <c r="F62" s="83"/>
      <c r="G62" s="83"/>
    </row>
    <row r="63" spans="1:7" ht="30" customHeight="1">
      <c r="A63" s="4" t="s">
        <v>430</v>
      </c>
      <c r="B63" s="4" t="s">
        <v>549</v>
      </c>
      <c r="C63" s="4" t="s">
        <v>550</v>
      </c>
      <c r="D63" s="4" t="s">
        <v>551</v>
      </c>
      <c r="E63" s="4" t="s">
        <v>552</v>
      </c>
      <c r="F63" s="4" t="s">
        <v>553</v>
      </c>
      <c r="G63" s="4" t="s">
        <v>554</v>
      </c>
    </row>
    <row r="64" spans="1:7" ht="60">
      <c r="A64" s="21">
        <v>1</v>
      </c>
      <c r="B64" s="2" t="s">
        <v>555</v>
      </c>
      <c r="C64" s="1" t="s">
        <v>556</v>
      </c>
      <c r="D64" s="8">
        <v>933402</v>
      </c>
      <c r="E64" s="9">
        <v>2.3099999999999999E-2</v>
      </c>
      <c r="F64" s="7">
        <v>140757021.59999999</v>
      </c>
      <c r="G64" s="2" t="s">
        <v>557</v>
      </c>
    </row>
    <row r="65" spans="1:7" ht="15">
      <c r="A65" s="11" t="s">
        <v>558</v>
      </c>
      <c r="B65" s="2" t="s">
        <v>559</v>
      </c>
      <c r="C65" s="2" t="s">
        <v>560</v>
      </c>
      <c r="D65" s="8">
        <v>340723</v>
      </c>
      <c r="E65" s="9">
        <v>8.3999999999999995E-3</v>
      </c>
      <c r="F65" s="7">
        <v>51381028.399999999</v>
      </c>
      <c r="G65" s="2" t="s">
        <v>557</v>
      </c>
    </row>
    <row r="66" spans="1:7" ht="15">
      <c r="A66" s="11" t="s">
        <v>561</v>
      </c>
      <c r="B66" s="2" t="s">
        <v>562</v>
      </c>
      <c r="C66" s="2" t="s">
        <v>560</v>
      </c>
      <c r="D66" s="8">
        <v>326690</v>
      </c>
      <c r="E66" s="9">
        <v>8.0999999999999996E-3</v>
      </c>
      <c r="F66" s="7">
        <v>49264852</v>
      </c>
      <c r="G66" s="2" t="s">
        <v>557</v>
      </c>
    </row>
    <row r="67" spans="1:7" ht="15">
      <c r="A67" s="11" t="s">
        <v>563</v>
      </c>
      <c r="B67" s="2" t="s">
        <v>564</v>
      </c>
      <c r="C67" s="2" t="s">
        <v>560</v>
      </c>
      <c r="D67" s="8">
        <v>265989</v>
      </c>
      <c r="E67" s="9">
        <v>6.6E-3</v>
      </c>
      <c r="F67" s="7">
        <v>40111141.200000003</v>
      </c>
      <c r="G67" s="2" t="s">
        <v>557</v>
      </c>
    </row>
    <row r="68" spans="1:7" ht="60">
      <c r="A68" s="21">
        <v>2</v>
      </c>
      <c r="B68" s="2" t="s">
        <v>565</v>
      </c>
      <c r="C68" s="1" t="s">
        <v>566</v>
      </c>
      <c r="D68" s="8">
        <v>933399</v>
      </c>
      <c r="E68" s="9">
        <v>2.3099999999999999E-2</v>
      </c>
      <c r="F68" s="7">
        <v>140756569.19999999</v>
      </c>
      <c r="G68" s="2" t="s">
        <v>567</v>
      </c>
    </row>
    <row r="69" spans="1:7" ht="30">
      <c r="A69" s="21">
        <v>3</v>
      </c>
      <c r="B69" s="2" t="s">
        <v>568</v>
      </c>
      <c r="C69" s="2" t="s">
        <v>569</v>
      </c>
      <c r="D69" s="8">
        <v>903290</v>
      </c>
      <c r="E69" s="9">
        <v>2.23E-2</v>
      </c>
      <c r="F69" s="7">
        <v>136216132</v>
      </c>
      <c r="G69" s="2" t="s">
        <v>557</v>
      </c>
    </row>
    <row r="70" spans="1:7" ht="30">
      <c r="A70" s="21">
        <v>4</v>
      </c>
      <c r="B70" s="2" t="s">
        <v>570</v>
      </c>
      <c r="C70" s="2" t="s">
        <v>569</v>
      </c>
      <c r="D70" s="8">
        <v>903290</v>
      </c>
      <c r="E70" s="9">
        <v>2.23E-2</v>
      </c>
      <c r="F70" s="7">
        <v>136216132</v>
      </c>
      <c r="G70" s="2" t="s">
        <v>557</v>
      </c>
    </row>
    <row r="71" spans="1:7" ht="15">
      <c r="A71" s="21">
        <v>5</v>
      </c>
      <c r="B71" s="2" t="s">
        <v>571</v>
      </c>
      <c r="C71" s="2" t="s">
        <v>569</v>
      </c>
      <c r="D71" s="8">
        <v>903290</v>
      </c>
      <c r="E71" s="9">
        <v>2.23E-2</v>
      </c>
      <c r="F71" s="7">
        <v>136216132</v>
      </c>
      <c r="G71" s="2" t="s">
        <v>557</v>
      </c>
    </row>
    <row r="72" spans="1:7" ht="60">
      <c r="A72" s="21">
        <v>6</v>
      </c>
      <c r="B72" s="2" t="s">
        <v>572</v>
      </c>
      <c r="C72" s="2" t="s">
        <v>569</v>
      </c>
      <c r="D72" s="8">
        <v>903290</v>
      </c>
      <c r="E72" s="9">
        <v>2.23E-2</v>
      </c>
      <c r="F72" s="7">
        <v>136216132</v>
      </c>
      <c r="G72" s="1" t="s">
        <v>573</v>
      </c>
    </row>
    <row r="73" spans="1:7" ht="30">
      <c r="A73" s="21">
        <v>7</v>
      </c>
      <c r="B73" s="2" t="s">
        <v>574</v>
      </c>
      <c r="C73" s="2" t="s">
        <v>575</v>
      </c>
      <c r="D73" s="8">
        <v>808928</v>
      </c>
      <c r="E73" s="9">
        <v>0.02</v>
      </c>
      <c r="F73" s="7">
        <v>121986342.40000001</v>
      </c>
      <c r="G73" s="2" t="s">
        <v>576</v>
      </c>
    </row>
    <row r="74" spans="1:7" ht="45">
      <c r="A74" s="21">
        <v>8</v>
      </c>
      <c r="B74" s="2" t="s">
        <v>577</v>
      </c>
      <c r="C74" s="1" t="s">
        <v>578</v>
      </c>
      <c r="D74" s="8">
        <v>1356100</v>
      </c>
      <c r="E74" s="9">
        <v>3.3500000000000002E-2</v>
      </c>
      <c r="F74" s="7">
        <v>204499880</v>
      </c>
      <c r="G74" s="2" t="s">
        <v>557</v>
      </c>
    </row>
    <row r="75" spans="1:7" ht="15">
      <c r="A75" s="21">
        <v>9</v>
      </c>
      <c r="B75" s="2" t="s">
        <v>579</v>
      </c>
      <c r="C75" s="2" t="s">
        <v>569</v>
      </c>
      <c r="D75" s="8">
        <v>444297</v>
      </c>
      <c r="E75" s="9">
        <v>1.0999999999999999E-2</v>
      </c>
      <c r="F75" s="7">
        <v>66999987.600000001</v>
      </c>
      <c r="G75" s="2" t="s">
        <v>567</v>
      </c>
    </row>
    <row r="76" spans="1:7" ht="15">
      <c r="A76" s="18" t="s">
        <v>398</v>
      </c>
      <c r="B76" s="18" t="s">
        <v>580</v>
      </c>
      <c r="C76" s="18" t="s">
        <v>581</v>
      </c>
      <c r="D76" s="22">
        <v>8089286</v>
      </c>
      <c r="E76" s="20">
        <v>0.2</v>
      </c>
      <c r="F76" s="19">
        <v>1219864328.8</v>
      </c>
      <c r="G76" s="18" t="s">
        <v>147</v>
      </c>
    </row>
    <row r="77" spans="1:7" ht="52" customHeight="1">
      <c r="A77" s="87" t="s">
        <v>582</v>
      </c>
      <c r="B77" s="83"/>
      <c r="C77" s="83"/>
      <c r="D77" s="83"/>
      <c r="E77" s="83"/>
      <c r="F77" s="83"/>
      <c r="G77" s="83"/>
    </row>
    <row r="79" spans="1:7" ht="26" customHeight="1">
      <c r="A79" s="88" t="s">
        <v>583</v>
      </c>
      <c r="B79" s="83"/>
      <c r="C79" s="83"/>
      <c r="D79" s="83"/>
      <c r="E79" s="83"/>
      <c r="F79" s="83"/>
    </row>
    <row r="80" spans="1:7" ht="30" customHeight="1">
      <c r="A80" s="4" t="s">
        <v>430</v>
      </c>
      <c r="B80" s="4" t="s">
        <v>584</v>
      </c>
      <c r="C80" s="4" t="s">
        <v>585</v>
      </c>
      <c r="D80" s="4" t="s">
        <v>586</v>
      </c>
      <c r="E80" s="4" t="s">
        <v>587</v>
      </c>
      <c r="F80" s="4" t="s">
        <v>157</v>
      </c>
    </row>
    <row r="81" spans="1:6" ht="15">
      <c r="A81" s="8">
        <v>1</v>
      </c>
      <c r="B81" s="2" t="s">
        <v>588</v>
      </c>
      <c r="C81" s="7">
        <v>202245.93</v>
      </c>
      <c r="D81" s="7">
        <v>202245.93</v>
      </c>
      <c r="E81" s="39">
        <v>0.48134181616290039</v>
      </c>
      <c r="F81" s="11" t="s">
        <v>90</v>
      </c>
    </row>
    <row r="82" spans="1:6" ht="15">
      <c r="A82" s="8">
        <v>2</v>
      </c>
      <c r="B82" s="2" t="s">
        <v>589</v>
      </c>
      <c r="C82" s="7">
        <v>110973.8</v>
      </c>
      <c r="D82" s="7">
        <v>110973.8</v>
      </c>
      <c r="E82" s="39">
        <v>0.26411572504078817</v>
      </c>
      <c r="F82" s="11" t="s">
        <v>90</v>
      </c>
    </row>
    <row r="83" spans="1:6" ht="30">
      <c r="A83" s="8">
        <v>3</v>
      </c>
      <c r="B83" s="2" t="s">
        <v>590</v>
      </c>
      <c r="C83" s="7">
        <v>44540</v>
      </c>
      <c r="D83" s="7">
        <v>44540</v>
      </c>
      <c r="E83" s="39">
        <v>0.10600442981421471</v>
      </c>
      <c r="F83" s="11" t="s">
        <v>90</v>
      </c>
    </row>
    <row r="84" spans="1:6" ht="30">
      <c r="A84" s="8">
        <v>4</v>
      </c>
      <c r="B84" s="2" t="s">
        <v>591</v>
      </c>
      <c r="C84" s="7">
        <v>62411.39</v>
      </c>
      <c r="D84" s="7">
        <v>62411.39</v>
      </c>
      <c r="E84" s="39">
        <v>0.14853802898209659</v>
      </c>
      <c r="F84" s="11" t="s">
        <v>90</v>
      </c>
    </row>
    <row r="85" spans="1:6" ht="15">
      <c r="A85" s="18" t="s">
        <v>147</v>
      </c>
      <c r="B85" s="18" t="s">
        <v>398</v>
      </c>
      <c r="C85" s="19">
        <v>420171.12</v>
      </c>
      <c r="D85" s="19">
        <v>420171.12</v>
      </c>
      <c r="E85" s="40">
        <v>1</v>
      </c>
      <c r="F85" s="18" t="s">
        <v>90</v>
      </c>
    </row>
    <row r="86" spans="1:6" ht="26" customHeight="1">
      <c r="A86" s="87" t="s">
        <v>592</v>
      </c>
      <c r="B86" s="83"/>
      <c r="C86" s="83"/>
      <c r="D86" s="83"/>
      <c r="E86" s="83"/>
      <c r="F86" s="83"/>
    </row>
    <row r="88" spans="1:6" ht="26" customHeight="1">
      <c r="A88" s="88" t="s">
        <v>593</v>
      </c>
      <c r="B88" s="83"/>
      <c r="C88" s="83"/>
      <c r="D88" s="83"/>
      <c r="E88" s="83"/>
      <c r="F88" s="83"/>
    </row>
    <row r="89" spans="1:6" ht="30" customHeight="1">
      <c r="A89" s="4" t="s">
        <v>594</v>
      </c>
      <c r="B89" s="4" t="s">
        <v>595</v>
      </c>
      <c r="C89" s="4" t="s">
        <v>596</v>
      </c>
      <c r="D89" s="4" t="s">
        <v>597</v>
      </c>
      <c r="E89" s="4"/>
      <c r="F89" s="4" t="s">
        <v>157</v>
      </c>
    </row>
    <row r="90" spans="1:6" ht="15">
      <c r="A90" s="2" t="s">
        <v>598</v>
      </c>
      <c r="B90" s="7">
        <v>14499.32</v>
      </c>
      <c r="C90" s="9">
        <v>0.79590894594207373</v>
      </c>
      <c r="D90" s="41">
        <v>2.377201847116717E-2</v>
      </c>
      <c r="E90" s="11"/>
      <c r="F90" s="11" t="s">
        <v>98</v>
      </c>
    </row>
    <row r="91" spans="1:6" ht="15">
      <c r="A91" s="2" t="s">
        <v>599</v>
      </c>
      <c r="B91" s="7">
        <v>1828.3</v>
      </c>
      <c r="C91" s="9">
        <v>0.10036059110812739</v>
      </c>
      <c r="D91" s="41">
        <v>2.9975461863614951E-3</v>
      </c>
      <c r="E91" s="11"/>
      <c r="F91" s="11" t="s">
        <v>98</v>
      </c>
    </row>
    <row r="92" spans="1:6" ht="15">
      <c r="A92" s="2" t="s">
        <v>600</v>
      </c>
      <c r="B92" s="7">
        <v>1100</v>
      </c>
      <c r="C92" s="9">
        <v>6.0382131061062251E-2</v>
      </c>
      <c r="D92" s="41">
        <v>1.80347908165927E-3</v>
      </c>
      <c r="E92" s="11"/>
      <c r="F92" s="11" t="s">
        <v>98</v>
      </c>
    </row>
    <row r="93" spans="1:6" ht="15">
      <c r="A93" s="2" t="s">
        <v>601</v>
      </c>
      <c r="B93" s="7">
        <v>603.77</v>
      </c>
      <c r="C93" s="9">
        <v>3.3142653882488687E-2</v>
      </c>
      <c r="D93" s="41">
        <v>9.8989687739401604E-4</v>
      </c>
      <c r="E93" s="11"/>
      <c r="F93" s="11" t="s">
        <v>98</v>
      </c>
    </row>
    <row r="94" spans="1:6" ht="15">
      <c r="A94" s="2" t="s">
        <v>602</v>
      </c>
      <c r="B94" s="7">
        <v>185.91</v>
      </c>
      <c r="C94" s="9">
        <v>1.020512907778371E-2</v>
      </c>
      <c r="D94" s="41">
        <v>3.0480436006479541E-4</v>
      </c>
      <c r="E94" s="11"/>
      <c r="F94" s="11" t="s">
        <v>98</v>
      </c>
    </row>
    <row r="95" spans="1:6" ht="15">
      <c r="A95" s="18" t="s">
        <v>398</v>
      </c>
      <c r="B95" s="19">
        <v>18217.310000000001</v>
      </c>
      <c r="C95" s="20">
        <v>1</v>
      </c>
      <c r="D95" s="42">
        <v>2.986776137191113E-2</v>
      </c>
      <c r="E95" s="18"/>
      <c r="F95" s="18" t="s">
        <v>98</v>
      </c>
    </row>
    <row r="96" spans="1:6" ht="15" customHeight="1">
      <c r="A96" s="87" t="s">
        <v>603</v>
      </c>
      <c r="B96" s="83"/>
      <c r="C96" s="83"/>
      <c r="D96" s="83"/>
      <c r="E96" s="83"/>
      <c r="F96" s="83"/>
    </row>
  </sheetData>
  <mergeCells count="15">
    <mergeCell ref="A96:F96"/>
    <mergeCell ref="A86:F86"/>
    <mergeCell ref="C57:F57"/>
    <mergeCell ref="C58:F58"/>
    <mergeCell ref="C55:F55"/>
    <mergeCell ref="A79:F79"/>
    <mergeCell ref="A62:G62"/>
    <mergeCell ref="C59:F59"/>
    <mergeCell ref="C54:F54"/>
    <mergeCell ref="A88:F88"/>
    <mergeCell ref="C53:F53"/>
    <mergeCell ref="C56:F56"/>
    <mergeCell ref="A1:F1"/>
    <mergeCell ref="A77:G77"/>
    <mergeCell ref="C60:F60"/>
  </mergeCells>
  <phoneticPr fontId="6"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J178"/>
  <sheetViews>
    <sheetView showGridLines="0" workbookViewId="0"/>
  </sheetViews>
  <sheetFormatPr baseColWidth="10" defaultColWidth="8.83203125" defaultRowHeight="14"/>
  <cols>
    <col min="1" max="1" width="40" customWidth="1"/>
    <col min="2" max="2" width="10" customWidth="1"/>
    <col min="3" max="7" width="14" customWidth="1"/>
    <col min="8" max="8" width="58" customWidth="1"/>
    <col min="9" max="9" width="13" customWidth="1"/>
  </cols>
  <sheetData>
    <row r="1" spans="1:9" ht="26" customHeight="1">
      <c r="A1" s="82" t="s">
        <v>604</v>
      </c>
      <c r="B1" s="83"/>
      <c r="C1" s="83"/>
      <c r="D1" s="83"/>
      <c r="E1" s="83"/>
      <c r="F1" s="83"/>
      <c r="G1" s="83"/>
      <c r="H1" s="83"/>
      <c r="I1" s="83"/>
    </row>
    <row r="2" spans="1:9" ht="26" customHeight="1">
      <c r="A2" s="87" t="s">
        <v>605</v>
      </c>
      <c r="B2" s="83"/>
      <c r="C2" s="83"/>
      <c r="D2" s="83"/>
      <c r="E2" s="83"/>
      <c r="F2" s="83"/>
      <c r="G2" s="83"/>
      <c r="H2" s="83"/>
      <c r="I2" s="83"/>
    </row>
    <row r="3" spans="1:9" ht="20" customHeight="1">
      <c r="A3" s="84" t="s">
        <v>606</v>
      </c>
      <c r="B3" s="83"/>
      <c r="C3" s="83"/>
      <c r="D3" s="83"/>
      <c r="E3" s="83"/>
      <c r="F3" s="83"/>
      <c r="G3" s="83"/>
      <c r="H3" s="83"/>
      <c r="I3" s="83"/>
    </row>
    <row r="4" spans="1:9" ht="30" customHeight="1">
      <c r="A4" s="4" t="s">
        <v>607</v>
      </c>
      <c r="B4" s="4" t="s">
        <v>250</v>
      </c>
      <c r="C4" s="4" t="s">
        <v>252</v>
      </c>
      <c r="D4" s="4" t="s">
        <v>253</v>
      </c>
      <c r="E4" s="4" t="s">
        <v>63</v>
      </c>
      <c r="F4" s="4" t="s">
        <v>67</v>
      </c>
      <c r="G4" s="4" t="s">
        <v>608</v>
      </c>
      <c r="H4" s="4" t="s">
        <v>609</v>
      </c>
      <c r="I4" s="4" t="s">
        <v>610</v>
      </c>
    </row>
    <row r="5" spans="1:9" ht="60">
      <c r="A5" s="2" t="s">
        <v>611</v>
      </c>
      <c r="B5" s="43" t="s">
        <v>300</v>
      </c>
      <c r="C5" s="9">
        <f>'03_财务原始数据'!D5/'03_财务原始数据'!C5-1</f>
        <v>3.936339345861108</v>
      </c>
      <c r="D5" s="9">
        <f>'03_财务原始数据'!E5/'03_财务原始数据'!D5-1</f>
        <v>1.1631823605986904</v>
      </c>
      <c r="E5" s="9">
        <f>'03_财务原始数据'!C68/'03_财务原始数据'!D68-1</f>
        <v>0.6849007426321545</v>
      </c>
      <c r="F5" s="9">
        <f>'03_财务原始数据'!C88/'03_财务原始数据'!D88-1</f>
        <v>0.48539007414023017</v>
      </c>
      <c r="G5" s="2" t="s">
        <v>612</v>
      </c>
      <c r="H5" s="1" t="s">
        <v>613</v>
      </c>
      <c r="I5" s="2" t="s">
        <v>614</v>
      </c>
    </row>
    <row r="6" spans="1:9" ht="15">
      <c r="A6" s="2" t="s">
        <v>615</v>
      </c>
      <c r="B6" s="43" t="s">
        <v>300</v>
      </c>
      <c r="C6" s="9">
        <f>'04_业务结构原始数据'!D7/'04_业务结构原始数据'!B7-1</f>
        <v>1.4608443122704897</v>
      </c>
      <c r="D6" s="9">
        <f>'04_业务结构原始数据'!F7/'04_业务结构原始数据'!D7-1</f>
        <v>3.3235194731226949</v>
      </c>
      <c r="E6" s="44" t="s">
        <v>616</v>
      </c>
      <c r="F6" s="44" t="s">
        <v>616</v>
      </c>
      <c r="G6" s="2" t="s">
        <v>160</v>
      </c>
      <c r="H6" s="1" t="s">
        <v>617</v>
      </c>
      <c r="I6" s="2" t="s">
        <v>147</v>
      </c>
    </row>
    <row r="7" spans="1:9" ht="45">
      <c r="A7" s="2" t="s">
        <v>618</v>
      </c>
      <c r="B7" s="43" t="s">
        <v>300</v>
      </c>
      <c r="C7" s="9">
        <f>'03_财务原始数据'!D31/'03_财务原始数据'!C31-1</f>
        <v>-9.5665180213726213</v>
      </c>
      <c r="D7" s="9">
        <f>'03_财务原始数据'!E31/'03_财务原始数据'!D31-1</f>
        <v>1.9139709263291742</v>
      </c>
      <c r="E7" s="9">
        <f>'03_财务原始数据'!C72/'03_财务原始数据'!D72-1</f>
        <v>-0.47685677675792992</v>
      </c>
      <c r="F7" s="44" t="s">
        <v>619</v>
      </c>
      <c r="G7" s="2" t="s">
        <v>612</v>
      </c>
      <c r="H7" s="1" t="s">
        <v>620</v>
      </c>
      <c r="I7" s="2" t="s">
        <v>147</v>
      </c>
    </row>
    <row r="8" spans="1:9" ht="45">
      <c r="A8" s="45" t="s">
        <v>621</v>
      </c>
      <c r="B8" s="46" t="s">
        <v>300</v>
      </c>
      <c r="C8" s="47">
        <f>'03_财务原始数据'!D32/'03_财务原始数据'!C32-1</f>
        <v>-5.3551842211875176</v>
      </c>
      <c r="D8" s="47">
        <f>'03_财务原始数据'!E32/'03_财务原始数据'!D32-1</f>
        <v>6.5277669111135186</v>
      </c>
      <c r="E8" s="47">
        <f>'03_财务原始数据'!C73/'03_财务原始数据'!D73-1</f>
        <v>-0.52551555050007948</v>
      </c>
      <c r="F8" s="47">
        <f>'03_财务原始数据'!C92/'03_财务原始数据'!D92-1</f>
        <v>-0.19344153342800985</v>
      </c>
      <c r="G8" s="45" t="s">
        <v>612</v>
      </c>
      <c r="H8" s="48" t="s">
        <v>622</v>
      </c>
      <c r="I8" s="45" t="s">
        <v>623</v>
      </c>
    </row>
    <row r="9" spans="1:9" ht="45">
      <c r="A9" s="2" t="s">
        <v>624</v>
      </c>
      <c r="B9" s="43" t="s">
        <v>300</v>
      </c>
      <c r="C9" s="9">
        <f>'03_财务原始数据'!D37/'03_财务原始数据'!C37-1</f>
        <v>37.925907941325242</v>
      </c>
      <c r="D9" s="9">
        <f>'03_财务原始数据'!E37/'03_财务原始数据'!D37-1</f>
        <v>2.4823913555342676</v>
      </c>
      <c r="E9" s="9">
        <f>'03_财务原始数据'!C74/'03_财务原始数据'!D74-1</f>
        <v>-0.85650498817820953</v>
      </c>
      <c r="F9" s="9">
        <f>'03_财务原始数据'!C97/'03_财务原始数据'!D97-1</f>
        <v>-0.32532162604430859</v>
      </c>
      <c r="G9" s="2" t="s">
        <v>612</v>
      </c>
      <c r="H9" s="1" t="s">
        <v>625</v>
      </c>
      <c r="I9" s="2" t="s">
        <v>626</v>
      </c>
    </row>
    <row r="10" spans="1:9" ht="15">
      <c r="A10" s="2" t="s">
        <v>627</v>
      </c>
      <c r="B10" s="43" t="s">
        <v>300</v>
      </c>
      <c r="C10" s="9">
        <f>'04_业务结构原始数据'!D4/'04_业务结构原始数据'!B4-1</f>
        <v>35.162448181726269</v>
      </c>
      <c r="D10" s="9">
        <f>'04_业务结构原始数据'!F4/'04_业务结构原始数据'!D4-1</f>
        <v>7.0880830512518447</v>
      </c>
      <c r="E10" s="44" t="s">
        <v>616</v>
      </c>
      <c r="F10" s="44" t="s">
        <v>616</v>
      </c>
      <c r="G10" s="2" t="s">
        <v>160</v>
      </c>
      <c r="H10" s="1" t="s">
        <v>628</v>
      </c>
      <c r="I10" s="2" t="s">
        <v>147</v>
      </c>
    </row>
    <row r="11" spans="1:9" ht="15">
      <c r="A11" s="2" t="s">
        <v>629</v>
      </c>
      <c r="B11" s="43" t="s">
        <v>300</v>
      </c>
      <c r="C11" s="9">
        <f>'04_业务结构原始数据'!D3/'04_业务结构原始数据'!B3-1</f>
        <v>0.93116067980723871</v>
      </c>
      <c r="D11" s="9">
        <f>'04_业务结构原始数据'!F3/'04_业务结构原始数据'!D3-1</f>
        <v>2.0260015780088549</v>
      </c>
      <c r="E11" s="44" t="s">
        <v>616</v>
      </c>
      <c r="F11" s="44" t="s">
        <v>616</v>
      </c>
      <c r="G11" s="2" t="s">
        <v>160</v>
      </c>
      <c r="H11" s="1" t="s">
        <v>630</v>
      </c>
      <c r="I11" s="2" t="s">
        <v>147</v>
      </c>
    </row>
    <row r="12" spans="1:9" ht="60">
      <c r="A12" s="45" t="s">
        <v>631</v>
      </c>
      <c r="B12" s="46" t="s">
        <v>300</v>
      </c>
      <c r="C12" s="49" t="s">
        <v>147</v>
      </c>
      <c r="D12" s="47">
        <f>('03_财务原始数据'!E5/'03_财务原始数据'!C5)^(1/2)-1</f>
        <v>2.2677518569952686</v>
      </c>
      <c r="E12" s="49" t="s">
        <v>147</v>
      </c>
      <c r="F12" s="49" t="s">
        <v>147</v>
      </c>
      <c r="G12" s="45" t="s">
        <v>160</v>
      </c>
      <c r="H12" s="48" t="s">
        <v>632</v>
      </c>
      <c r="I12" s="45" t="s">
        <v>633</v>
      </c>
    </row>
    <row r="13" spans="1:9" ht="15">
      <c r="A13" s="2" t="s">
        <v>634</v>
      </c>
      <c r="B13" s="43" t="s">
        <v>300</v>
      </c>
      <c r="C13" s="44" t="s">
        <v>147</v>
      </c>
      <c r="D13" s="9">
        <f>('04_业务结构原始数据'!F7/'04_业务结构原始数据'!B7)^(1/2)-1</f>
        <v>2.2618259157141862</v>
      </c>
      <c r="E13" s="44" t="s">
        <v>147</v>
      </c>
      <c r="F13" s="44" t="s">
        <v>147</v>
      </c>
      <c r="G13" s="2" t="s">
        <v>160</v>
      </c>
      <c r="H13" s="1" t="s">
        <v>635</v>
      </c>
      <c r="I13" s="2" t="s">
        <v>147</v>
      </c>
    </row>
    <row r="14" spans="1:9" ht="90">
      <c r="A14" s="15" t="s">
        <v>636</v>
      </c>
      <c r="B14" s="50" t="s">
        <v>300</v>
      </c>
      <c r="C14" s="51" t="str">
        <f>IF('03_财务原始数据'!C32&gt;0,'03_财务原始数据'!D32/'03_财务原始数据'!C32-1,"N/M")</f>
        <v>N/M</v>
      </c>
      <c r="D14" s="51">
        <f>IF('03_财务原始数据'!D32&gt;0,'03_财务原始数据'!E32/'03_财务原始数据'!D32-1,"N/M")</f>
        <v>6.5277669111135186</v>
      </c>
      <c r="E14" s="52" t="s">
        <v>147</v>
      </c>
      <c r="F14" s="52" t="s">
        <v>147</v>
      </c>
      <c r="G14" s="15" t="s">
        <v>160</v>
      </c>
      <c r="H14" s="53" t="s">
        <v>637</v>
      </c>
      <c r="I14" s="15" t="s">
        <v>638</v>
      </c>
    </row>
    <row r="15" spans="1:9" ht="26" customHeight="1">
      <c r="A15" s="87" t="s">
        <v>639</v>
      </c>
      <c r="B15" s="83"/>
      <c r="C15" s="83"/>
      <c r="D15" s="83"/>
      <c r="E15" s="83"/>
      <c r="F15" s="83"/>
      <c r="G15" s="83"/>
      <c r="H15" s="83"/>
      <c r="I15" s="83"/>
    </row>
    <row r="17" spans="1:10" ht="20" customHeight="1">
      <c r="A17" s="84" t="s">
        <v>640</v>
      </c>
      <c r="B17" s="83"/>
      <c r="C17" s="83"/>
      <c r="D17" s="83"/>
      <c r="E17" s="83"/>
      <c r="F17" s="83"/>
      <c r="G17" s="83"/>
      <c r="H17" s="83"/>
      <c r="I17" s="83"/>
    </row>
    <row r="18" spans="1:10" ht="30" customHeight="1">
      <c r="A18" s="4" t="s">
        <v>607</v>
      </c>
      <c r="B18" s="4" t="s">
        <v>250</v>
      </c>
      <c r="C18" s="4" t="s">
        <v>251</v>
      </c>
      <c r="D18" s="4" t="s">
        <v>252</v>
      </c>
      <c r="E18" s="4" t="s">
        <v>253</v>
      </c>
      <c r="F18" s="4" t="s">
        <v>63</v>
      </c>
      <c r="G18" s="4" t="s">
        <v>67</v>
      </c>
      <c r="H18" s="4" t="s">
        <v>609</v>
      </c>
      <c r="I18" s="4" t="s">
        <v>610</v>
      </c>
    </row>
    <row r="19" spans="1:10" ht="75">
      <c r="A19" s="45" t="s">
        <v>641</v>
      </c>
      <c r="B19" s="46" t="s">
        <v>300</v>
      </c>
      <c r="C19" s="47">
        <f>('03_财务原始数据'!C5-'03_财务原始数据'!C8)/'03_财务原始数据'!C5</f>
        <v>0.44752046069234558</v>
      </c>
      <c r="D19" s="47">
        <f>('03_财务原始数据'!D5-'03_财务原始数据'!D8)/'03_财务原始数据'!D5</f>
        <v>0.78607862042662546</v>
      </c>
      <c r="E19" s="47">
        <f>('03_财务原始数据'!E5-'03_财务原始数据'!E8)/'03_财务原始数据'!E5</f>
        <v>0.60438230714813712</v>
      </c>
      <c r="F19" s="49" t="s">
        <v>616</v>
      </c>
      <c r="G19" s="49" t="s">
        <v>616</v>
      </c>
      <c r="H19" s="48" t="s">
        <v>160</v>
      </c>
      <c r="I19" s="45" t="s">
        <v>642</v>
      </c>
      <c r="J19" s="45" t="s">
        <v>643</v>
      </c>
    </row>
    <row r="20" spans="1:10" ht="45">
      <c r="A20" s="2" t="s">
        <v>644</v>
      </c>
      <c r="B20" s="43" t="s">
        <v>300</v>
      </c>
      <c r="C20" s="9">
        <f>'03_财务原始数据'!C51</f>
        <v>0.44750000000000001</v>
      </c>
      <c r="D20" s="9">
        <f>'03_财务原始数据'!D51</f>
        <v>0.57220000000000004</v>
      </c>
      <c r="E20" s="9">
        <f>'03_财务原始数据'!E51</f>
        <v>0.60440000000000005</v>
      </c>
      <c r="F20" s="44" t="s">
        <v>147</v>
      </c>
      <c r="G20" s="44" t="s">
        <v>147</v>
      </c>
      <c r="H20" s="1" t="s">
        <v>160</v>
      </c>
      <c r="I20" s="2" t="s">
        <v>645</v>
      </c>
      <c r="J20" s="2" t="s">
        <v>646</v>
      </c>
    </row>
    <row r="21" spans="1:10" ht="75">
      <c r="A21" s="2" t="s">
        <v>647</v>
      </c>
      <c r="B21" s="43" t="s">
        <v>300</v>
      </c>
      <c r="C21" s="9">
        <f>'03_财务原始数据'!C11/'03_财务原始数据'!C6</f>
        <v>0.44216737073630558</v>
      </c>
      <c r="D21" s="9">
        <f>'03_财务原始数据'!D11/'03_财务原始数据'!D6</f>
        <v>0.56740168513241063</v>
      </c>
      <c r="E21" s="9">
        <f>'03_财务原始数据'!E11/'03_财务原始数据'!E6</f>
        <v>0.60130311186449537</v>
      </c>
      <c r="F21" s="44" t="s">
        <v>616</v>
      </c>
      <c r="G21" s="44" t="s">
        <v>616</v>
      </c>
      <c r="H21" s="1" t="s">
        <v>160</v>
      </c>
      <c r="I21" s="2" t="s">
        <v>648</v>
      </c>
      <c r="J21" s="2" t="s">
        <v>649</v>
      </c>
    </row>
    <row r="22" spans="1:10" ht="30">
      <c r="A22" s="2" t="s">
        <v>650</v>
      </c>
      <c r="B22" s="43" t="s">
        <v>300</v>
      </c>
      <c r="C22" s="9">
        <f>'03_财务原始数据'!C28/'03_财务原始数据'!C5</f>
        <v>-0.13426952312007964</v>
      </c>
      <c r="D22" s="9">
        <f>'03_财务原始数据'!D28/'03_财务原始数据'!D5</f>
        <v>0.12819502574912028</v>
      </c>
      <c r="E22" s="9">
        <f>'03_财务原始数据'!E28/'03_财务原始数据'!E5</f>
        <v>0.21639507051648613</v>
      </c>
      <c r="F22" s="9">
        <f>'03_财务原始数据'!C69/'03_财务原始数据'!C68</f>
        <v>0.1162045735921701</v>
      </c>
      <c r="G22" s="9">
        <f>'03_财务原始数据'!C89/'03_财务原始数据'!C88</f>
        <v>0.26230380050919699</v>
      </c>
      <c r="H22" s="1" t="s">
        <v>612</v>
      </c>
      <c r="I22" s="2" t="s">
        <v>651</v>
      </c>
      <c r="J22" s="2" t="s">
        <v>147</v>
      </c>
    </row>
    <row r="23" spans="1:10" ht="45">
      <c r="A23" s="2" t="s">
        <v>652</v>
      </c>
      <c r="B23" s="43" t="s">
        <v>300</v>
      </c>
      <c r="C23" s="9">
        <f>'03_财务原始数据'!C31/'03_财务原始数据'!C5</f>
        <v>-7.0035768507626259E-2</v>
      </c>
      <c r="D23" s="9">
        <f>'03_财务原始数据'!D31/'03_财务原始数据'!D5</f>
        <v>0.12153999776459903</v>
      </c>
      <c r="E23" s="9">
        <f>'03_财务原始数据'!E31/'03_财务原始数据'!E5</f>
        <v>0.16372360755296408</v>
      </c>
      <c r="F23" s="9">
        <f>'03_财务原始数据'!C72/'03_财务原始数据'!C68</f>
        <v>0.11828053367640989</v>
      </c>
      <c r="G23" s="9">
        <f>'03_财务原始数据'!C91/'03_财务原始数据'!C88</f>
        <v>0.23779643853706192</v>
      </c>
      <c r="H23" s="1" t="s">
        <v>612</v>
      </c>
      <c r="I23" s="2" t="s">
        <v>653</v>
      </c>
      <c r="J23" s="2" t="s">
        <v>147</v>
      </c>
    </row>
    <row r="24" spans="1:10" ht="90">
      <c r="A24" s="45" t="s">
        <v>654</v>
      </c>
      <c r="B24" s="46" t="s">
        <v>300</v>
      </c>
      <c r="C24" s="47">
        <f>'03_财务原始数据'!C32/'03_财务原始数据'!C5</f>
        <v>-0.11323195990307564</v>
      </c>
      <c r="D24" s="47">
        <f>'03_财务原始数据'!D32/'03_财务原始数据'!D5</f>
        <v>9.9901163706966931E-2</v>
      </c>
      <c r="E24" s="47">
        <f>'03_财务原始数据'!E32/'03_财务原始数据'!E5</f>
        <v>0.34765107567117232</v>
      </c>
      <c r="F24" s="47">
        <f>'03_财务原始数据'!C73/'03_财务原始数据'!C68</f>
        <v>9.5198071140299947E-2</v>
      </c>
      <c r="G24" s="47">
        <f>'03_财务原始数据'!C92/'03_财务原始数据'!C88</f>
        <v>0.21169991883674799</v>
      </c>
      <c r="H24" s="48" t="s">
        <v>612</v>
      </c>
      <c r="I24" s="45" t="s">
        <v>655</v>
      </c>
      <c r="J24" s="45" t="s">
        <v>656</v>
      </c>
    </row>
    <row r="25" spans="1:10" ht="30">
      <c r="A25" s="2" t="s">
        <v>657</v>
      </c>
      <c r="B25" s="43" t="s">
        <v>300</v>
      </c>
      <c r="C25" s="9">
        <f>'03_财务原始数据'!C13/'03_财务原始数据'!C5</f>
        <v>0.23702166219246121</v>
      </c>
      <c r="D25" s="9">
        <f>'03_财务原始数据'!D13/'03_财务原始数据'!D5</f>
        <v>7.5309207127721087E-2</v>
      </c>
      <c r="E25" s="9">
        <f>'03_财务原始数据'!E13/'03_财务原始数据'!E5</f>
        <v>8.3096422680030771E-2</v>
      </c>
      <c r="F25" s="44" t="s">
        <v>616</v>
      </c>
      <c r="G25" s="44" t="s">
        <v>616</v>
      </c>
      <c r="H25" s="1" t="s">
        <v>160</v>
      </c>
      <c r="I25" s="2" t="s">
        <v>658</v>
      </c>
      <c r="J25" s="2" t="s">
        <v>147</v>
      </c>
    </row>
    <row r="26" spans="1:10" ht="75">
      <c r="A26" s="2" t="s">
        <v>659</v>
      </c>
      <c r="B26" s="43" t="s">
        <v>300</v>
      </c>
      <c r="C26" s="9">
        <f>'03_财务原始数据'!C14/'03_财务原始数据'!C5</f>
        <v>8.3753104294231787E-2</v>
      </c>
      <c r="D26" s="9">
        <f>'03_财务原始数据'!D14/'03_财务原始数据'!D5</f>
        <v>3.1831804154434123E-2</v>
      </c>
      <c r="E26" s="9">
        <f>'03_财务原始数据'!E14/'03_财务原始数据'!E5</f>
        <v>0.23515760568380775</v>
      </c>
      <c r="F26" s="44" t="s">
        <v>616</v>
      </c>
      <c r="G26" s="44" t="s">
        <v>616</v>
      </c>
      <c r="H26" s="1" t="s">
        <v>160</v>
      </c>
      <c r="I26" s="2" t="s">
        <v>660</v>
      </c>
      <c r="J26" s="2" t="s">
        <v>147</v>
      </c>
    </row>
    <row r="27" spans="1:10" ht="210">
      <c r="A27" s="54" t="s">
        <v>661</v>
      </c>
      <c r="B27" s="55" t="s">
        <v>300</v>
      </c>
      <c r="C27" s="56">
        <f>'03_财务原始数据'!C14/'03_财务原始数据'!C5</f>
        <v>8.3753104294231787E-2</v>
      </c>
      <c r="D27" s="56">
        <f>'03_财务原始数据'!D14/'03_财务原始数据'!D5</f>
        <v>3.1831804154434123E-2</v>
      </c>
      <c r="E27" s="56">
        <f>('03_财务原始数据'!E14-'03_财务原始数据'!E34)/'03_财务原始数据'!E5</f>
        <v>2.9736663870759024E-2</v>
      </c>
      <c r="F27" s="57" t="s">
        <v>616</v>
      </c>
      <c r="G27" s="57" t="s">
        <v>616</v>
      </c>
      <c r="H27" s="58" t="s">
        <v>662</v>
      </c>
      <c r="I27" s="54" t="s">
        <v>663</v>
      </c>
      <c r="J27" s="54" t="s">
        <v>664</v>
      </c>
    </row>
    <row r="28" spans="1:10" ht="75">
      <c r="A28" s="2" t="s">
        <v>665</v>
      </c>
      <c r="B28" s="43" t="s">
        <v>300</v>
      </c>
      <c r="C28" s="9">
        <f>'03_财务原始数据'!C15/'03_财务原始数据'!C5</f>
        <v>0.31389693240430733</v>
      </c>
      <c r="D28" s="9">
        <f>'03_财务原始数据'!D15/'03_财务原始数据'!D5</f>
        <v>8.9132157770424325E-2</v>
      </c>
      <c r="E28" s="9">
        <f>'03_财务原始数据'!E15/'03_财务原始数据'!E5</f>
        <v>8.531055083499714E-2</v>
      </c>
      <c r="F28" s="44" t="s">
        <v>616</v>
      </c>
      <c r="G28" s="44" t="s">
        <v>616</v>
      </c>
      <c r="H28" s="1" t="s">
        <v>160</v>
      </c>
      <c r="I28" s="2" t="s">
        <v>666</v>
      </c>
      <c r="J28" s="2" t="s">
        <v>667</v>
      </c>
    </row>
    <row r="29" spans="1:10" ht="90">
      <c r="A29" s="2" t="s">
        <v>668</v>
      </c>
      <c r="B29" s="43" t="s">
        <v>300</v>
      </c>
      <c r="C29" s="9">
        <f>'03_财务原始数据'!C16/'03_财务原始数据'!C5</f>
        <v>-4.6028388582229865E-2</v>
      </c>
      <c r="D29" s="9">
        <f>'03_财务原始数据'!D16/'03_财务原始数据'!D5</f>
        <v>-2.1878414046668963E-2</v>
      </c>
      <c r="E29" s="9">
        <f>'03_财务原始数据'!E16/'03_财务原始数据'!E5</f>
        <v>5.8030825367115155E-4</v>
      </c>
      <c r="F29" s="44" t="s">
        <v>616</v>
      </c>
      <c r="G29" s="44" t="s">
        <v>616</v>
      </c>
      <c r="H29" s="1" t="s">
        <v>160</v>
      </c>
      <c r="I29" s="2" t="s">
        <v>669</v>
      </c>
      <c r="J29" s="2" t="s">
        <v>147</v>
      </c>
    </row>
    <row r="30" spans="1:10" ht="30">
      <c r="A30" s="2" t="s">
        <v>670</v>
      </c>
      <c r="B30" s="43" t="s">
        <v>300</v>
      </c>
      <c r="C30" s="9">
        <f>'03_财务原始数据'!C17/'03_财务原始数据'!C5</f>
        <v>0.58864268190912838</v>
      </c>
      <c r="D30" s="9">
        <f>'03_财务原始数据'!D17/'03_财务原始数据'!D5</f>
        <v>0.17439475500591059</v>
      </c>
      <c r="E30" s="9">
        <f>'03_财务原始数据'!E17/'03_财务原始数据'!E5</f>
        <v>0.40414494630133085</v>
      </c>
      <c r="F30" s="44" t="s">
        <v>616</v>
      </c>
      <c r="G30" s="44" t="s">
        <v>616</v>
      </c>
      <c r="H30" s="1" t="s">
        <v>160</v>
      </c>
      <c r="I30" s="2" t="s">
        <v>671</v>
      </c>
      <c r="J30" s="2" t="s">
        <v>147</v>
      </c>
    </row>
    <row r="31" spans="1:10" ht="60">
      <c r="A31" s="2" t="s">
        <v>672</v>
      </c>
      <c r="B31" s="43" t="s">
        <v>300</v>
      </c>
      <c r="C31" s="9">
        <f>'03_财务原始数据'!C52</f>
        <v>-3.6600000000000001E-2</v>
      </c>
      <c r="D31" s="9">
        <f>'03_财务原始数据'!D52</f>
        <v>0.1046</v>
      </c>
      <c r="E31" s="9">
        <f>'03_财务原始数据'!E52</f>
        <v>0.13519999999999999</v>
      </c>
      <c r="F31" s="44" t="s">
        <v>616</v>
      </c>
      <c r="G31" s="9">
        <f>'03_财务原始数据'!C95</f>
        <v>9.9900000000000003E-2</v>
      </c>
      <c r="H31" s="1" t="s">
        <v>673</v>
      </c>
      <c r="I31" s="2" t="s">
        <v>674</v>
      </c>
      <c r="J31" s="2" t="s">
        <v>147</v>
      </c>
    </row>
    <row r="32" spans="1:10" ht="75">
      <c r="A32" s="45" t="s">
        <v>675</v>
      </c>
      <c r="B32" s="46" t="s">
        <v>300</v>
      </c>
      <c r="C32" s="47">
        <f>'03_财务原始数据'!C53</f>
        <v>-5.9200000000000003E-2</v>
      </c>
      <c r="D32" s="47">
        <f>'03_财务原始数据'!D53</f>
        <v>8.5999999999999993E-2</v>
      </c>
      <c r="E32" s="47">
        <f>'03_财务原始数据'!E53</f>
        <v>0.28699999999999998</v>
      </c>
      <c r="F32" s="49" t="s">
        <v>616</v>
      </c>
      <c r="G32" s="47">
        <f>'03_财务原始数据'!C96</f>
        <v>8.8999999999999996E-2</v>
      </c>
      <c r="H32" s="48" t="s">
        <v>673</v>
      </c>
      <c r="I32" s="45" t="s">
        <v>676</v>
      </c>
      <c r="J32" s="45" t="s">
        <v>677</v>
      </c>
    </row>
    <row r="33" spans="1:10" ht="90">
      <c r="A33" s="2" t="s">
        <v>678</v>
      </c>
      <c r="B33" s="43" t="s">
        <v>300</v>
      </c>
      <c r="C33" s="9">
        <f>'03_财务原始数据'!C31/'03_财务原始数据'!C42</f>
        <v>-3.7268985359723568E-2</v>
      </c>
      <c r="D33" s="9">
        <f>'03_财务原始数据'!D31/'03_财务原始数据'!D42</f>
        <v>7.4557631141018418E-2</v>
      </c>
      <c r="E33" s="9">
        <f>'03_财务原始数据'!E31/'03_财务原始数据'!E42</f>
        <v>0.10681265893398309</v>
      </c>
      <c r="F33" s="9">
        <f>'03_财务原始数据'!C72/'03_财务原始数据'!C79</f>
        <v>1.8835209336070715E-2</v>
      </c>
      <c r="G33" s="9">
        <f>'03_财务原始数据'!C91/'03_财务原始数据'!C105</f>
        <v>9.5139356291047097E-2</v>
      </c>
      <c r="H33" s="1" t="s">
        <v>612</v>
      </c>
      <c r="I33" s="2" t="s">
        <v>679</v>
      </c>
      <c r="J33" s="2" t="s">
        <v>680</v>
      </c>
    </row>
    <row r="34" spans="1:10" ht="180">
      <c r="A34" s="15" t="s">
        <v>681</v>
      </c>
      <c r="B34" s="50" t="s">
        <v>300</v>
      </c>
      <c r="C34" s="51" t="str">
        <f>IF('03_财务原始数据'!C29&gt;0,('03_财务原始数据'!C29-'03_财务原始数据'!C30)/'03_财务原始数据'!C29,"不适用")</f>
        <v>不适用</v>
      </c>
      <c r="D34" s="51">
        <f>IF('03_财务原始数据'!D29&gt;0,('03_财务原始数据'!D29-'03_财务原始数据'!D30)/'03_财务原始数据'!D29,"不适用")</f>
        <v>5.1115210231191824E-2</v>
      </c>
      <c r="E34" s="51">
        <f>IF('03_财务原始数据'!E29&gt;0,('03_财务原始数据'!E29-'03_财务原始数据'!E30)/'03_财务原始数据'!E29,"不适用")</f>
        <v>0.24493498598215818</v>
      </c>
      <c r="F34" s="51">
        <f>IF('03_财务原始数据'!C70&gt;0,('03_财务原始数据'!C70-'03_财务原始数据'!C72)/'03_财务原始数据'!C70,"不适用")</f>
        <v>-2.1223333006632143E-2</v>
      </c>
      <c r="G34" s="51">
        <f>IF('03_财务原始数据'!C90&gt;0,('03_财务原始数据'!C90-'03_财务原始数据'!C91)/'03_财务原始数据'!C90,"不适用")</f>
        <v>9.004414947989689E-2</v>
      </c>
      <c r="H34" s="53" t="s">
        <v>612</v>
      </c>
      <c r="I34" s="15" t="s">
        <v>682</v>
      </c>
      <c r="J34" s="15" t="s">
        <v>683</v>
      </c>
    </row>
    <row r="35" spans="1:10" ht="135">
      <c r="A35" s="45" t="s">
        <v>684</v>
      </c>
      <c r="B35" s="46" t="s">
        <v>256</v>
      </c>
      <c r="C35" s="59">
        <f>'03_财务原始数据'!C31-'03_财务原始数据'!C32</f>
        <v>687.40000000000009</v>
      </c>
      <c r="D35" s="59">
        <f>'03_财务原始数据'!D31-'03_财务原始数据'!D32</f>
        <v>1699.8199999999997</v>
      </c>
      <c r="E35" s="59">
        <f>'03_财务原始数据'!E31-'03_财务原始数据'!E32</f>
        <v>-31254.23</v>
      </c>
      <c r="F35" s="59">
        <f>'03_财务原始数据'!C72-'03_财务原始数据'!C73</f>
        <v>976.02</v>
      </c>
      <c r="G35" s="59">
        <f>'03_财务原始数据'!C91-'03_财务原始数据'!C92</f>
        <v>3006.9600000000028</v>
      </c>
      <c r="H35" s="48" t="s">
        <v>612</v>
      </c>
      <c r="I35" s="45" t="s">
        <v>685</v>
      </c>
      <c r="J35" s="45" t="s">
        <v>686</v>
      </c>
    </row>
    <row r="36" spans="1:10" ht="75">
      <c r="A36" s="2" t="s">
        <v>687</v>
      </c>
      <c r="B36" s="43" t="s">
        <v>256</v>
      </c>
      <c r="C36" s="43" t="s">
        <v>616</v>
      </c>
      <c r="D36" s="43" t="s">
        <v>616</v>
      </c>
      <c r="E36" s="43" t="s">
        <v>616</v>
      </c>
      <c r="F36" s="7">
        <f>'03_财务原始数据'!C80</f>
        <v>976.02</v>
      </c>
      <c r="G36" s="43" t="s">
        <v>616</v>
      </c>
      <c r="H36" s="1" t="s">
        <v>688</v>
      </c>
      <c r="I36" s="2" t="s">
        <v>689</v>
      </c>
      <c r="J36" s="2" t="s">
        <v>690</v>
      </c>
    </row>
    <row r="38" spans="1:10" ht="20" customHeight="1">
      <c r="A38" s="84" t="s">
        <v>691</v>
      </c>
      <c r="B38" s="83"/>
      <c r="C38" s="83"/>
      <c r="D38" s="83"/>
      <c r="E38" s="83"/>
      <c r="F38" s="83"/>
      <c r="G38" s="83"/>
      <c r="H38" s="83"/>
      <c r="I38" s="83"/>
    </row>
    <row r="39" spans="1:10" ht="30" customHeight="1">
      <c r="A39" s="4" t="s">
        <v>361</v>
      </c>
      <c r="B39" s="4" t="s">
        <v>422</v>
      </c>
      <c r="C39" s="4" t="s">
        <v>423</v>
      </c>
      <c r="D39" s="4" t="s">
        <v>424</v>
      </c>
      <c r="E39" s="4" t="s">
        <v>692</v>
      </c>
      <c r="F39" s="4" t="s">
        <v>693</v>
      </c>
      <c r="G39" s="4" t="s">
        <v>694</v>
      </c>
      <c r="H39" s="4" t="s">
        <v>609</v>
      </c>
      <c r="I39" s="4" t="s">
        <v>610</v>
      </c>
    </row>
    <row r="40" spans="1:10" ht="75">
      <c r="A40" s="2" t="s">
        <v>368</v>
      </c>
      <c r="B40" s="9">
        <f>('04_业务结构原始数据'!B3-'04_业务结构原始数据'!B11)/'04_业务结构原始数据'!B3</f>
        <v>0.43710677336156789</v>
      </c>
      <c r="C40" s="9">
        <f>('04_业务结构原始数据'!D3-'04_业务结构原始数据'!D11)/'04_业务结构原始数据'!D3</f>
        <v>0.51646954568699988</v>
      </c>
      <c r="D40" s="9">
        <f>('04_业务结构原始数据'!F3-'04_业务结构原始数据'!F11)/'04_业务结构原始数据'!F3</f>
        <v>0.567197648710139</v>
      </c>
      <c r="E40" s="9">
        <f>'04_业务结构原始数据'!F3/'04_业务结构原始数据'!F7</f>
        <v>0.41621685056758473</v>
      </c>
      <c r="F40" s="9">
        <f>('04_业务结构原始数据'!F3-'04_业务结构原始数据'!F11)/('04_业务结构原始数据'!F7-'04_业务结构原始数据'!F11-'04_业务结构原始数据'!F12-'04_业务结构原始数据'!F13-'04_业务结构原始数据'!F14)</f>
        <v>0.39260938079512969</v>
      </c>
      <c r="G40" s="7">
        <f>(('04_业务结构原始数据'!F3-'04_业务结构原始数据'!F11)/'04_业务结构原始数据'!F3-('04_业务结构原始数据'!B3-'04_业务结构原始数据'!B11)/'04_业务结构原始数据'!B3)*100</f>
        <v>13.009087534857111</v>
      </c>
      <c r="H40" s="1" t="s">
        <v>695</v>
      </c>
      <c r="I40" s="2" t="s">
        <v>696</v>
      </c>
    </row>
    <row r="41" spans="1:10" ht="75">
      <c r="A41" s="45" t="s">
        <v>369</v>
      </c>
      <c r="B41" s="47">
        <f>('04_业务结构原始数据'!B4-'04_业务结构原始数据'!B12)/'04_业务结构原始数据'!B4</f>
        <v>0.87668093424555971</v>
      </c>
      <c r="C41" s="47">
        <f>('04_业务结构原始数据'!D4-'04_业务结构原始数据'!D12)/'04_业务结构原始数据'!D4</f>
        <v>0.69255789505077459</v>
      </c>
      <c r="D41" s="47">
        <f>('04_业务结构原始数据'!F4-'04_业务结构原始数据'!F12)/'04_业务结构原始数据'!F4</f>
        <v>0.6317652070637183</v>
      </c>
      <c r="E41" s="47">
        <f>'04_业务结构原始数据'!F4/'04_业务结构原始数据'!F7</f>
        <v>0.51776520276790761</v>
      </c>
      <c r="F41" s="47">
        <f>('04_业务结构原始数据'!F4-'04_业务结构原始数据'!F12)/('04_业务结构原始数据'!F7-'04_业务结构原始数据'!F11-'04_业务结构原始数据'!F12-'04_业务结构原始数据'!F13-'04_业务结构原始数据'!F14)</f>
        <v>0.54399531041604776</v>
      </c>
      <c r="G41" s="59">
        <f>(('04_业务结构原始数据'!F4-'04_业务结构原始数据'!F12)/'04_业务结构原始数据'!F4-('04_业务结构原始数据'!B4-'04_业务结构原始数据'!B12)/'04_业务结构原始数据'!B4)*100</f>
        <v>-24.491572718184141</v>
      </c>
      <c r="H41" s="48" t="s">
        <v>695</v>
      </c>
      <c r="I41" s="45" t="s">
        <v>696</v>
      </c>
    </row>
    <row r="42" spans="1:10" ht="75">
      <c r="A42" s="2" t="s">
        <v>370</v>
      </c>
      <c r="B42" s="9">
        <f>('04_业务结构原始数据'!B5-'04_业务结构原始数据'!B13)/'04_业务结构原始数据'!B5</f>
        <v>0.48764271971593487</v>
      </c>
      <c r="C42" s="9">
        <f>('04_业务结构原始数据'!D5-'04_业务结构原始数据'!D13)/'04_业务结构原始数据'!D5</f>
        <v>0.5693517025834004</v>
      </c>
      <c r="D42" s="9">
        <f>('04_业务结构原始数据'!F5-'04_业务结构原始数据'!F13)/'04_业务结构原始数据'!F5</f>
        <v>0.59356139148440235</v>
      </c>
      <c r="E42" s="9">
        <f>'04_业务结构原始数据'!F5/'04_业务结构原始数据'!F7</f>
        <v>6.189131041388729E-2</v>
      </c>
      <c r="F42" s="9">
        <f>('04_业务结构原始数据'!F5-'04_业务结构原始数据'!F13)/('04_业务结构原始数据'!F7-'04_业务结构原始数据'!F11-'04_业务结构原始数据'!F12-'04_业务结构原始数据'!F13-'04_业务结构原始数据'!F14)</f>
        <v>6.1094471740156718E-2</v>
      </c>
      <c r="G42" s="7">
        <f>(('04_业务结构原始数据'!F5-'04_业务结构原始数据'!F13)/'04_业务结构原始数据'!F5-('04_业务结构原始数据'!B5-'04_业务结构原始数据'!B13)/'04_业务结构原始数据'!B5)*100</f>
        <v>10.591867176846748</v>
      </c>
      <c r="H42" s="1" t="s">
        <v>695</v>
      </c>
      <c r="I42" s="2" t="s">
        <v>696</v>
      </c>
    </row>
    <row r="43" spans="1:10" ht="75">
      <c r="A43" s="2" t="s">
        <v>371</v>
      </c>
      <c r="B43" s="9">
        <f>('04_业务结构原始数据'!B6-'04_业务结构原始数据'!B14)/'04_业务结构原始数据'!B6</f>
        <v>0.2111408210426976</v>
      </c>
      <c r="C43" s="9">
        <f>('04_业务结构原始数据'!D6-'04_业务结构原始数据'!D14)/'04_业务结构原始数据'!D6</f>
        <v>0.23229365424215523</v>
      </c>
      <c r="D43" s="9">
        <f>('04_业务结构原始数据'!F6-'04_业务结构原始数据'!F14)/'04_业务结构原始数据'!F6</f>
        <v>0.33526103488657888</v>
      </c>
      <c r="E43" s="9">
        <f>'04_业务结构原始数据'!F6/'04_业务结构原始数据'!F7</f>
        <v>4.1266362506204093E-3</v>
      </c>
      <c r="F43" s="9">
        <f>('04_业务结构原始数据'!F6-'04_业务结构原始数据'!F14)/('04_业务结构原始数据'!F7-'04_业务结构原始数据'!F11-'04_业务结构原始数据'!F12-'04_业务结构原始数据'!F13-'04_业务结构原始数据'!F14)</f>
        <v>2.3008370486657442E-3</v>
      </c>
      <c r="G43" s="7">
        <f>(('04_业务结构原始数据'!F6-'04_业务结构原始数据'!F14)/'04_业务结构原始数据'!F6-('04_业务结构原始数据'!B6-'04_业务结构原始数据'!B14)/'04_业务结构原始数据'!B6)*100</f>
        <v>12.412021384388128</v>
      </c>
      <c r="H43" s="1" t="s">
        <v>695</v>
      </c>
      <c r="I43" s="2" t="s">
        <v>696</v>
      </c>
    </row>
    <row r="44" spans="1:10" ht="45">
      <c r="A44" s="18" t="s">
        <v>697</v>
      </c>
      <c r="B44" s="20">
        <f>('04_业务结构原始数据'!B7-'04_业务结构原始数据'!B11-'04_业务结构原始数据'!B12-'04_业务结构原始数据'!B13-'04_业务结构原始数据'!B14)/'04_业务结构原始数据'!B7</f>
        <v>0.44216737073630547</v>
      </c>
      <c r="C44" s="20">
        <f>('04_业务结构原始数据'!D7-'04_业务结构原始数据'!D11-'04_业务结构原始数据'!D12-'04_业务结构原始数据'!D13-'04_业务结构原始数据'!D14)/'04_业务结构原始数据'!D7</f>
        <v>0.56740142718292341</v>
      </c>
      <c r="D44" s="20">
        <f>('04_业务结构原始数据'!F7-'04_业务结构原始数据'!F11-'04_业务结构原始数据'!F12-'04_业务结构原始数据'!F13-'04_业务结构原始数据'!F14)/'04_业务结构原始数据'!F7</f>
        <v>0.60130305220257207</v>
      </c>
      <c r="E44" s="20">
        <v>1</v>
      </c>
      <c r="F44" s="20">
        <v>1</v>
      </c>
      <c r="G44" s="60" t="s">
        <v>147</v>
      </c>
      <c r="H44" s="61" t="s">
        <v>698</v>
      </c>
      <c r="I44" s="18" t="s">
        <v>699</v>
      </c>
    </row>
    <row r="45" spans="1:10" ht="39" customHeight="1">
      <c r="A45" s="87" t="s">
        <v>700</v>
      </c>
      <c r="B45" s="83"/>
      <c r="C45" s="83"/>
      <c r="D45" s="83"/>
      <c r="E45" s="83"/>
      <c r="F45" s="83"/>
      <c r="G45" s="83"/>
      <c r="H45" s="83"/>
      <c r="I45" s="83"/>
    </row>
    <row r="47" spans="1:10" ht="20" customHeight="1">
      <c r="A47" s="84" t="s">
        <v>701</v>
      </c>
      <c r="B47" s="83"/>
      <c r="C47" s="83"/>
      <c r="D47" s="83"/>
      <c r="E47" s="83"/>
      <c r="F47" s="83"/>
      <c r="G47" s="83"/>
      <c r="H47" s="83"/>
      <c r="I47" s="83"/>
    </row>
    <row r="48" spans="1:10" ht="30" customHeight="1">
      <c r="A48" s="4" t="s">
        <v>702</v>
      </c>
      <c r="B48" s="4" t="s">
        <v>250</v>
      </c>
      <c r="C48" s="4" t="s">
        <v>703</v>
      </c>
      <c r="D48" s="4" t="s">
        <v>704</v>
      </c>
      <c r="E48" s="4" t="s">
        <v>705</v>
      </c>
      <c r="F48" s="4" t="s">
        <v>706</v>
      </c>
      <c r="G48" s="4" t="s">
        <v>608</v>
      </c>
      <c r="H48" s="4" t="s">
        <v>609</v>
      </c>
      <c r="I48" s="4" t="s">
        <v>610</v>
      </c>
    </row>
    <row r="49" spans="1:10" ht="15">
      <c r="A49" s="2" t="s">
        <v>707</v>
      </c>
      <c r="B49" s="43" t="s">
        <v>256</v>
      </c>
      <c r="C49" s="7">
        <f>'04_业务结构原始数据'!D21-'04_业务结构原始数据'!C21</f>
        <v>11116.279999999999</v>
      </c>
      <c r="D49" s="7">
        <f>'04_业务结构原始数据'!F21-'04_业务结构原始数据'!D21</f>
        <v>46708.19</v>
      </c>
      <c r="E49" s="7">
        <f>'04_业务结构原始数据'!D24-'04_业务结构原始数据'!C24</f>
        <v>10433.050000000001</v>
      </c>
      <c r="F49" s="7">
        <f>'04_业务结构原始数据'!F24-'04_业务结构原始数据'!D24</f>
        <v>76053.430000000008</v>
      </c>
      <c r="G49" s="2" t="s">
        <v>160</v>
      </c>
      <c r="H49" s="1" t="s">
        <v>708</v>
      </c>
      <c r="I49" s="2" t="s">
        <v>147</v>
      </c>
    </row>
    <row r="50" spans="1:10" ht="90">
      <c r="A50" s="2" t="s">
        <v>709</v>
      </c>
      <c r="B50" s="43" t="s">
        <v>256</v>
      </c>
      <c r="C50" s="7">
        <f>('04_业务结构原始数据'!D19-'04_业务结构原始数据'!C19)*('04_业务结构原始数据'!C21/'04_业务结构原始数据'!C19)</f>
        <v>15357.715908362705</v>
      </c>
      <c r="D50" s="7">
        <f>('04_业务结构原始数据'!F19-'04_业务结构原始数据'!D19)*('04_业务结构原始数据'!D21/'04_业务结构原始数据'!D19)</f>
        <v>51371.571940863229</v>
      </c>
      <c r="E50" s="7">
        <f>('04_业务结构原始数据'!D22-'04_业务结构原始数据'!C22)*('04_业务结构原始数据'!C24/'04_业务结构原始数据'!C22)</f>
        <v>24152.194</v>
      </c>
      <c r="F50" s="7">
        <f>('04_业务结构原始数据'!F22-'04_业务结构原始数据'!D22)*('04_业务结构原始数据'!D24/'04_业务结构原始数据'!D22)</f>
        <v>125085.04194174756</v>
      </c>
      <c r="G50" s="2" t="s">
        <v>662</v>
      </c>
      <c r="H50" s="1" t="s">
        <v>710</v>
      </c>
      <c r="I50" s="2" t="s">
        <v>711</v>
      </c>
    </row>
    <row r="51" spans="1:10" ht="75">
      <c r="A51" s="2" t="s">
        <v>712</v>
      </c>
      <c r="B51" s="43" t="s">
        <v>256</v>
      </c>
      <c r="C51" s="7">
        <f>('04_业务结构原始数据'!D19)*(('04_业务结构原始数据'!D21/'04_业务结构原始数据'!D19)-('04_业务结构原始数据'!C21/'04_业务结构原始数据'!C19))</f>
        <v>-4241.4359083627041</v>
      </c>
      <c r="D51" s="7">
        <f>('04_业务结构原始数据'!F19)*(('04_业务结构原始数据'!F21/'04_业务结构原始数据'!F19)-('04_业务结构原始数据'!D21/'04_业务结构原始数据'!D19))</f>
        <v>-4663.3819408632344</v>
      </c>
      <c r="E51" s="7">
        <f>('04_业务结构原始数据'!D22)*(('04_业务结构原始数据'!D24/'04_业务结构原始数据'!D22)-('04_业务结构原始数据'!C24/'04_业务结构原始数据'!C22))</f>
        <v>-13719.144</v>
      </c>
      <c r="F51" s="7">
        <f>('04_业务结构原始数据'!F22)*(('04_业务结构原始数据'!F24/'04_业务结构原始数据'!F22)-('04_业务结构原始数据'!D24/'04_业务结构原始数据'!D22))</f>
        <v>-49031.611941747557</v>
      </c>
      <c r="G51" s="2" t="s">
        <v>662</v>
      </c>
      <c r="H51" s="1" t="s">
        <v>713</v>
      </c>
      <c r="I51" s="2" t="s">
        <v>714</v>
      </c>
    </row>
    <row r="52" spans="1:10" ht="45">
      <c r="A52" s="45" t="s">
        <v>715</v>
      </c>
      <c r="B52" s="46" t="s">
        <v>256</v>
      </c>
      <c r="C52" s="59">
        <f>C50+C51</f>
        <v>11116.28</v>
      </c>
      <c r="D52" s="59">
        <f>D50+D51</f>
        <v>46708.189999999995</v>
      </c>
      <c r="E52" s="59">
        <f>E50+E51</f>
        <v>10433.049999999999</v>
      </c>
      <c r="F52" s="59">
        <f>F50+F51</f>
        <v>76053.430000000008</v>
      </c>
      <c r="G52" s="45" t="s">
        <v>716</v>
      </c>
      <c r="H52" s="48" t="s">
        <v>717</v>
      </c>
      <c r="I52" s="45" t="s">
        <v>718</v>
      </c>
    </row>
    <row r="53" spans="1:10" ht="60">
      <c r="A53" s="2" t="s">
        <v>719</v>
      </c>
      <c r="B53" s="43" t="s">
        <v>300</v>
      </c>
      <c r="C53" s="7">
        <f>C50/C49</f>
        <v>1.3815517338860397</v>
      </c>
      <c r="D53" s="7">
        <f>D50/D49</f>
        <v>1.0998407761222009</v>
      </c>
      <c r="E53" s="7">
        <f>E50/E49</f>
        <v>2.3149696397506001</v>
      </c>
      <c r="F53" s="7">
        <f>F50/F49</f>
        <v>1.6446995479592117</v>
      </c>
      <c r="G53" s="2" t="s">
        <v>716</v>
      </c>
      <c r="H53" s="1" t="s">
        <v>720</v>
      </c>
      <c r="I53" s="2" t="s">
        <v>721</v>
      </c>
    </row>
    <row r="54" spans="1:10" ht="30">
      <c r="A54" s="2" t="s">
        <v>722</v>
      </c>
      <c r="B54" s="43" t="s">
        <v>388</v>
      </c>
      <c r="C54" s="7">
        <f>'04_业务结构原始数据'!D20</f>
        <v>3.23</v>
      </c>
      <c r="D54" s="7">
        <f>'04_业务结构原始数据'!F20</f>
        <v>3.03</v>
      </c>
      <c r="E54" s="7">
        <f>'04_业务结构原始数据'!D23</f>
        <v>26.04</v>
      </c>
      <c r="F54" s="7">
        <f>'04_业务结构原始数据'!F23</f>
        <v>16.64</v>
      </c>
      <c r="G54" s="2" t="s">
        <v>160</v>
      </c>
      <c r="H54" s="1" t="s">
        <v>723</v>
      </c>
      <c r="I54" s="2" t="s">
        <v>147</v>
      </c>
    </row>
    <row r="55" spans="1:10" ht="60">
      <c r="A55" s="30" t="s">
        <v>724</v>
      </c>
      <c r="B55" s="62" t="s">
        <v>388</v>
      </c>
      <c r="C55" s="63">
        <f>'04_业务结构原始数据'!D21/'04_业务结构原始数据'!D19</f>
        <v>3.2307132847533633</v>
      </c>
      <c r="D55" s="63">
        <f>'04_业务结构原始数据'!F21/'04_业务结构原始数据'!F19</f>
        <v>3.0282831965967789</v>
      </c>
      <c r="E55" s="63">
        <f>'04_业务结构原始数据'!D24/'04_业务结构原始数据'!D22</f>
        <v>26.043106796116504</v>
      </c>
      <c r="F55" s="63">
        <f>'04_业务结构原始数据'!F24/'04_业务结构原始数据'!F22</f>
        <v>16.641071907957816</v>
      </c>
      <c r="G55" s="30" t="s">
        <v>662</v>
      </c>
      <c r="H55" s="64" t="s">
        <v>725</v>
      </c>
      <c r="I55" s="30" t="s">
        <v>726</v>
      </c>
    </row>
    <row r="56" spans="1:10" ht="39" customHeight="1">
      <c r="A56" s="87" t="s">
        <v>727</v>
      </c>
      <c r="B56" s="83"/>
      <c r="C56" s="83"/>
      <c r="D56" s="83"/>
      <c r="E56" s="83"/>
      <c r="F56" s="83"/>
      <c r="G56" s="83"/>
      <c r="H56" s="83"/>
      <c r="I56" s="83"/>
    </row>
    <row r="58" spans="1:10" ht="20" customHeight="1">
      <c r="A58" s="84" t="s">
        <v>728</v>
      </c>
      <c r="B58" s="83"/>
      <c r="C58" s="83"/>
      <c r="D58" s="83"/>
      <c r="E58" s="83"/>
      <c r="F58" s="83"/>
      <c r="G58" s="83"/>
      <c r="H58" s="83"/>
      <c r="I58" s="83"/>
    </row>
    <row r="59" spans="1:10" ht="30" customHeight="1">
      <c r="A59" s="4" t="s">
        <v>607</v>
      </c>
      <c r="B59" s="4" t="s">
        <v>250</v>
      </c>
      <c r="C59" s="4" t="s">
        <v>251</v>
      </c>
      <c r="D59" s="4" t="s">
        <v>252</v>
      </c>
      <c r="E59" s="4" t="s">
        <v>253</v>
      </c>
      <c r="F59" s="4" t="s">
        <v>63</v>
      </c>
      <c r="G59" s="4" t="s">
        <v>67</v>
      </c>
      <c r="H59" s="4" t="s">
        <v>609</v>
      </c>
      <c r="I59" s="4" t="s">
        <v>729</v>
      </c>
    </row>
    <row r="60" spans="1:10" ht="180">
      <c r="A60" s="2" t="s">
        <v>730</v>
      </c>
      <c r="B60" s="43" t="s">
        <v>300</v>
      </c>
      <c r="C60" s="9">
        <f>'03_财务原始数据'!C37/'03_财务原始数据'!C5</f>
        <v>3.1058652308991644E-2</v>
      </c>
      <c r="D60" s="9">
        <f>'03_财务原始数据'!D37/'03_财务原始数据'!D5</f>
        <v>0.24491554487134606</v>
      </c>
      <c r="E60" s="9">
        <f>'03_财务原始数据'!E37/'03_财务原始数据'!E5</f>
        <v>0.39427641045477602</v>
      </c>
      <c r="F60" s="9">
        <f>'03_财务原始数据'!C74/'03_财务原始数据'!C68</f>
        <v>8.1353607329477662E-2</v>
      </c>
      <c r="G60" s="9">
        <f>'03_财务原始数据'!C97/'03_财务原始数据'!C88</f>
        <v>0.20095134231799192</v>
      </c>
      <c r="H60" s="1" t="s">
        <v>612</v>
      </c>
      <c r="I60" s="2" t="s">
        <v>731</v>
      </c>
      <c r="J60" s="2" t="s">
        <v>732</v>
      </c>
    </row>
    <row r="61" spans="1:10" ht="75">
      <c r="A61" s="2" t="s">
        <v>733</v>
      </c>
      <c r="B61" s="43" t="s">
        <v>734</v>
      </c>
      <c r="C61" s="65" t="str">
        <f>IF('03_财务原始数据'!C32&gt;0,'03_财务原始数据'!C37/'03_财务原始数据'!C32,"不适用")</f>
        <v>不适用</v>
      </c>
      <c r="D61" s="65">
        <f>IF('03_财务原始数据'!D32&gt;0,'03_财务原始数据'!D37/'03_财务原始数据'!D32,"不适用")</f>
        <v>2.4515784980217008</v>
      </c>
      <c r="E61" s="65">
        <f>IF('03_财务原始数据'!E32&gt;0,'03_财务原始数据'!E37/'03_财务原始数据'!E32,"不适用")</f>
        <v>1.1341153186239659</v>
      </c>
      <c r="F61" s="65">
        <f>IF('03_财务原始数据'!C73&gt;0,'03_财务原始数据'!C74/'03_财务原始数据'!C73,"不适用")</f>
        <v>0.85457201343482325</v>
      </c>
      <c r="G61" s="65">
        <f>IF('03_财务原始数据'!C92&gt;0,'03_财务原始数据'!C97/'03_财务原始数据'!C92,"不适用")</f>
        <v>0.94922729976554776</v>
      </c>
      <c r="H61" s="1" t="s">
        <v>612</v>
      </c>
      <c r="I61" s="2" t="s">
        <v>735</v>
      </c>
      <c r="J61" s="2" t="s">
        <v>736</v>
      </c>
    </row>
    <row r="62" spans="1:10" ht="150">
      <c r="A62" s="45" t="s">
        <v>737</v>
      </c>
      <c r="B62" s="46" t="s">
        <v>734</v>
      </c>
      <c r="C62" s="66" t="str">
        <f>IF('03_财务原始数据'!C31&gt;0,'03_财务原始数据'!C37/'03_财务原始数据'!C31,"不适用")</f>
        <v>不适用</v>
      </c>
      <c r="D62" s="66">
        <f>IF('03_财务原始数据'!D31&gt;0,'03_财务原始数据'!D37/'03_财务原始数据'!D31,"不适用")</f>
        <v>2.0151024302773406</v>
      </c>
      <c r="E62" s="66">
        <f>IF('03_财务原始数据'!E31&gt;0,'03_财务原始数据'!E37/'03_财务原始数据'!E31,"不适用")</f>
        <v>2.4081830125031223</v>
      </c>
      <c r="F62" s="66">
        <f>IF('03_财务原始数据'!C72&gt;0,'03_财务原始数据'!C74/'03_财务原始数据'!C72,"不适用")</f>
        <v>0.68780216660201787</v>
      </c>
      <c r="G62" s="66">
        <f>IF('03_财务原始数据'!C91&gt;0,'03_财务原始数据'!C97/'03_财务原始数据'!C91,"不适用")</f>
        <v>0.84505614783071081</v>
      </c>
      <c r="H62" s="48" t="s">
        <v>612</v>
      </c>
      <c r="I62" s="45" t="s">
        <v>738</v>
      </c>
      <c r="J62" s="45" t="s">
        <v>739</v>
      </c>
    </row>
    <row r="63" spans="1:10" ht="105">
      <c r="A63" s="2" t="s">
        <v>740</v>
      </c>
      <c r="B63" s="43" t="s">
        <v>741</v>
      </c>
      <c r="C63" s="67" t="s">
        <v>742</v>
      </c>
      <c r="D63" s="65">
        <f>'03_财务原始数据'!D5/(('03_财务原始数据'!C39+'03_财务原始数据'!D39)/2)</f>
        <v>0.81863858979817483</v>
      </c>
      <c r="E63" s="65">
        <f>'03_财务原始数据'!E5/(('03_财务原始数据'!D39+'03_财务原始数据'!E39)/2)</f>
        <v>0.71753506354615537</v>
      </c>
      <c r="F63" s="67" t="s">
        <v>743</v>
      </c>
      <c r="G63" s="65">
        <f>'03_财务原始数据'!C88/(('03_财务原始数据'!E39+'03_财务原始数据'!C101)/2)</f>
        <v>0.32669247015423586</v>
      </c>
      <c r="H63" s="1" t="s">
        <v>673</v>
      </c>
      <c r="I63" s="2" t="s">
        <v>744</v>
      </c>
      <c r="J63" s="2" t="s">
        <v>745</v>
      </c>
    </row>
    <row r="64" spans="1:10" ht="135">
      <c r="A64" s="2" t="s">
        <v>746</v>
      </c>
      <c r="B64" s="43" t="s">
        <v>300</v>
      </c>
      <c r="C64" s="9">
        <f>1-'03_财务原始数据'!C42/'03_财务原始数据'!C39</f>
        <v>0.23570998654387043</v>
      </c>
      <c r="D64" s="9">
        <f>1-'03_财务原始数据'!D42/'03_财务原始数据'!D39</f>
        <v>0.16187273598122986</v>
      </c>
      <c r="E64" s="9">
        <f>1-'03_财务原始数据'!E42/'03_财务原始数据'!E39</f>
        <v>0.18821025137833014</v>
      </c>
      <c r="F64" s="9">
        <f>1-'03_财务原始数据'!C79/'03_财务原始数据'!C77</f>
        <v>0.2323560615307263</v>
      </c>
      <c r="G64" s="9">
        <f>'03_财务原始数据'!C104</f>
        <v>0.25109999999999999</v>
      </c>
      <c r="H64" s="1" t="s">
        <v>612</v>
      </c>
      <c r="I64" s="2" t="s">
        <v>747</v>
      </c>
      <c r="J64" s="2" t="s">
        <v>748</v>
      </c>
    </row>
    <row r="65" spans="1:10" ht="45">
      <c r="A65" s="2" t="s">
        <v>749</v>
      </c>
      <c r="B65" s="43" t="s">
        <v>300</v>
      </c>
      <c r="C65" s="9">
        <f>'03_财务原始数据'!C48</f>
        <v>0.23569999999999999</v>
      </c>
      <c r="D65" s="9">
        <f>'03_财务原始数据'!D48</f>
        <v>0.16189999999999999</v>
      </c>
      <c r="E65" s="9">
        <f>'03_财务原始数据'!E48</f>
        <v>0.18820000000000001</v>
      </c>
      <c r="F65" s="44" t="s">
        <v>616</v>
      </c>
      <c r="G65" s="9">
        <f>'03_财务原始数据'!C104</f>
        <v>0.25109999999999999</v>
      </c>
      <c r="H65" s="1" t="s">
        <v>673</v>
      </c>
      <c r="I65" s="2" t="s">
        <v>750</v>
      </c>
      <c r="J65" s="2" t="s">
        <v>646</v>
      </c>
    </row>
    <row r="66" spans="1:10" ht="90">
      <c r="A66" s="2" t="s">
        <v>751</v>
      </c>
      <c r="B66" s="43" t="s">
        <v>300</v>
      </c>
      <c r="C66" s="9">
        <f>'03_财务原始数据'!C40/'03_财务原始数据'!C39</f>
        <v>0.83395340575533872</v>
      </c>
      <c r="D66" s="9">
        <f>'03_财务原始数据'!D40/'03_财务原始数据'!D39</f>
        <v>0.83181108280589944</v>
      </c>
      <c r="E66" s="9">
        <f>'03_财务原始数据'!E40/'03_财务原始数据'!E39</f>
        <v>0.69179987659801345</v>
      </c>
      <c r="F66" s="44" t="s">
        <v>616</v>
      </c>
      <c r="G66" s="9">
        <f>'03_财务原始数据'!C99/'03_财务原始数据'!C101</f>
        <v>0.75113953578723047</v>
      </c>
      <c r="H66" s="1" t="s">
        <v>673</v>
      </c>
      <c r="I66" s="2" t="s">
        <v>752</v>
      </c>
      <c r="J66" s="2" t="s">
        <v>147</v>
      </c>
    </row>
    <row r="67" spans="1:10" ht="165">
      <c r="A67" s="15" t="s">
        <v>753</v>
      </c>
      <c r="B67" s="50" t="s">
        <v>300</v>
      </c>
      <c r="C67" s="52" t="s">
        <v>754</v>
      </c>
      <c r="D67" s="52" t="s">
        <v>754</v>
      </c>
      <c r="E67" s="51">
        <f>'03_财务原始数据'!E44/'03_财务原始数据'!E40</f>
        <v>0.16567958140015993</v>
      </c>
      <c r="F67" s="52" t="s">
        <v>616</v>
      </c>
      <c r="G67" s="52" t="s">
        <v>616</v>
      </c>
      <c r="H67" s="53" t="s">
        <v>673</v>
      </c>
      <c r="I67" s="15" t="s">
        <v>755</v>
      </c>
      <c r="J67" s="15" t="s">
        <v>756</v>
      </c>
    </row>
    <row r="68" spans="1:10" ht="60">
      <c r="A68" s="2" t="s">
        <v>757</v>
      </c>
      <c r="B68" s="43" t="s">
        <v>300</v>
      </c>
      <c r="C68" s="44" t="s">
        <v>754</v>
      </c>
      <c r="D68" s="44" t="s">
        <v>754</v>
      </c>
      <c r="E68" s="9">
        <f>'03_财务原始数据'!E45/('03_财务原始数据'!E44+'03_财务原始数据'!E45)</f>
        <v>6.2635744510129432E-2</v>
      </c>
      <c r="F68" s="44" t="s">
        <v>616</v>
      </c>
      <c r="G68" s="44" t="s">
        <v>616</v>
      </c>
      <c r="H68" s="1" t="s">
        <v>160</v>
      </c>
      <c r="I68" s="2" t="s">
        <v>758</v>
      </c>
      <c r="J68" s="2" t="s">
        <v>759</v>
      </c>
    </row>
    <row r="69" spans="1:10" ht="120">
      <c r="A69" s="15" t="s">
        <v>760</v>
      </c>
      <c r="B69" s="50" t="s">
        <v>741</v>
      </c>
      <c r="C69" s="68" t="s">
        <v>761</v>
      </c>
      <c r="D69" s="68" t="s">
        <v>761</v>
      </c>
      <c r="E69" s="69">
        <f>'03_财务原始数据'!E9/'03_财务原始数据'!E44</f>
        <v>1.8171424111918477</v>
      </c>
      <c r="F69" s="68" t="s">
        <v>761</v>
      </c>
      <c r="G69" s="68" t="s">
        <v>761</v>
      </c>
      <c r="H69" s="53" t="s">
        <v>662</v>
      </c>
      <c r="I69" s="15" t="s">
        <v>762</v>
      </c>
      <c r="J69" s="15" t="s">
        <v>763</v>
      </c>
    </row>
    <row r="70" spans="1:10" ht="180">
      <c r="A70" s="15" t="s">
        <v>764</v>
      </c>
      <c r="B70" s="50" t="s">
        <v>741</v>
      </c>
      <c r="C70" s="52" t="s">
        <v>761</v>
      </c>
      <c r="D70" s="52" t="s">
        <v>761</v>
      </c>
      <c r="E70" s="52" t="s">
        <v>761</v>
      </c>
      <c r="F70" s="52" t="s">
        <v>761</v>
      </c>
      <c r="G70" s="52" t="s">
        <v>761</v>
      </c>
      <c r="H70" s="53" t="s">
        <v>147</v>
      </c>
      <c r="I70" s="15" t="s">
        <v>765</v>
      </c>
      <c r="J70" s="15" t="s">
        <v>766</v>
      </c>
    </row>
    <row r="71" spans="1:10" ht="90">
      <c r="A71" s="15" t="s">
        <v>309</v>
      </c>
      <c r="B71" s="50" t="s">
        <v>300</v>
      </c>
      <c r="C71" s="51">
        <f>'03_财务原始数据'!C57</f>
        <v>6.13E-2</v>
      </c>
      <c r="D71" s="51">
        <f>'03_财务原始数据'!D57</f>
        <v>6.5500000000000003E-2</v>
      </c>
      <c r="E71" s="51">
        <f>'03_财务原始数据'!E57</f>
        <v>5.1299999999999998E-2</v>
      </c>
      <c r="F71" s="52" t="s">
        <v>616</v>
      </c>
      <c r="G71" s="52" t="s">
        <v>616</v>
      </c>
      <c r="H71" s="53" t="s">
        <v>160</v>
      </c>
      <c r="I71" s="15" t="s">
        <v>767</v>
      </c>
      <c r="J71" s="15" t="s">
        <v>768</v>
      </c>
    </row>
    <row r="72" spans="1:10" ht="135">
      <c r="A72" s="15" t="s">
        <v>769</v>
      </c>
      <c r="B72" s="50" t="s">
        <v>770</v>
      </c>
      <c r="C72" s="51">
        <f>('03_财务原始数据'!C57-'03_财务原始数据'!C58)*100</f>
        <v>-6.06</v>
      </c>
      <c r="D72" s="51">
        <f>('03_财务原始数据'!D57-'03_财务原始数据'!D58)*100</f>
        <v>-7.26</v>
      </c>
      <c r="E72" s="51">
        <f>('03_财务原始数据'!E57-'03_财务原始数据'!E58)*100</f>
        <v>-8.94</v>
      </c>
      <c r="F72" s="52" t="s">
        <v>616</v>
      </c>
      <c r="G72" s="52" t="s">
        <v>616</v>
      </c>
      <c r="H72" s="53" t="s">
        <v>662</v>
      </c>
      <c r="I72" s="15" t="s">
        <v>771</v>
      </c>
      <c r="J72" s="15" t="s">
        <v>772</v>
      </c>
    </row>
    <row r="73" spans="1:10" ht="26" customHeight="1">
      <c r="A73" s="87" t="s">
        <v>773</v>
      </c>
      <c r="B73" s="83"/>
      <c r="C73" s="83"/>
      <c r="D73" s="83"/>
      <c r="E73" s="83"/>
      <c r="F73" s="83"/>
      <c r="G73" s="83"/>
      <c r="H73" s="83"/>
      <c r="I73" s="83"/>
    </row>
    <row r="75" spans="1:10" ht="20" customHeight="1">
      <c r="A75" s="84" t="s">
        <v>774</v>
      </c>
      <c r="B75" s="83"/>
      <c r="C75" s="83"/>
      <c r="D75" s="83"/>
      <c r="E75" s="83"/>
      <c r="F75" s="83"/>
      <c r="G75" s="83"/>
      <c r="H75" s="83"/>
      <c r="I75" s="83"/>
    </row>
    <row r="76" spans="1:10" ht="30" customHeight="1">
      <c r="A76" s="4" t="s">
        <v>607</v>
      </c>
      <c r="B76" s="4" t="s">
        <v>250</v>
      </c>
      <c r="C76" s="4" t="s">
        <v>251</v>
      </c>
      <c r="D76" s="4" t="s">
        <v>252</v>
      </c>
      <c r="E76" s="4" t="s">
        <v>253</v>
      </c>
      <c r="F76" s="4" t="s">
        <v>63</v>
      </c>
      <c r="G76" s="4" t="s">
        <v>67</v>
      </c>
      <c r="H76" s="4" t="s">
        <v>609</v>
      </c>
      <c r="I76" s="4" t="s">
        <v>610</v>
      </c>
    </row>
    <row r="77" spans="1:10" ht="150">
      <c r="A77" s="2" t="s">
        <v>266</v>
      </c>
      <c r="B77" s="43" t="s">
        <v>256</v>
      </c>
      <c r="C77" s="7">
        <f>'03_财务原始数据'!C15</f>
        <v>4995.18</v>
      </c>
      <c r="D77" s="7">
        <f>'03_财务原始数据'!D15</f>
        <v>7001.7</v>
      </c>
      <c r="E77" s="7">
        <f>'03_财务原始数据'!E15</f>
        <v>14496.56</v>
      </c>
      <c r="F77" s="43" t="s">
        <v>775</v>
      </c>
      <c r="G77" s="43" t="s">
        <v>775</v>
      </c>
      <c r="H77" s="1" t="s">
        <v>160</v>
      </c>
      <c r="I77" s="2" t="s">
        <v>776</v>
      </c>
      <c r="J77" s="2" t="s">
        <v>777</v>
      </c>
    </row>
    <row r="78" spans="1:10" ht="135">
      <c r="A78" s="2" t="s">
        <v>778</v>
      </c>
      <c r="B78" s="43" t="s">
        <v>300</v>
      </c>
      <c r="C78" s="43" t="s">
        <v>779</v>
      </c>
      <c r="D78" s="7">
        <f>'03_财务原始数据'!D15/'03_财务原始数据'!C15-1</f>
        <v>0.40169123034605358</v>
      </c>
      <c r="E78" s="7">
        <f>'03_财务原始数据'!E15/'03_财务原始数据'!D15-1</f>
        <v>1.0704343230929632</v>
      </c>
      <c r="F78" s="43" t="s">
        <v>780</v>
      </c>
      <c r="G78" s="43" t="s">
        <v>780</v>
      </c>
      <c r="H78" s="1" t="s">
        <v>612</v>
      </c>
      <c r="I78" s="2" t="s">
        <v>781</v>
      </c>
      <c r="J78" s="2" t="s">
        <v>782</v>
      </c>
    </row>
    <row r="79" spans="1:10" ht="75">
      <c r="A79" s="2" t="s">
        <v>783</v>
      </c>
      <c r="B79" s="43" t="s">
        <v>300</v>
      </c>
      <c r="C79" s="7">
        <f>'03_财务原始数据'!C15/'03_财务原始数据'!C5</f>
        <v>0.31389693240430733</v>
      </c>
      <c r="D79" s="7">
        <f>'03_财务原始数据'!D15/'03_财务原始数据'!D5</f>
        <v>8.9132157770424325E-2</v>
      </c>
      <c r="E79" s="7">
        <f>'03_财务原始数据'!E15/'03_财务原始数据'!E5</f>
        <v>8.531055083499714E-2</v>
      </c>
      <c r="F79" s="43" t="s">
        <v>616</v>
      </c>
      <c r="G79" s="43" t="s">
        <v>616</v>
      </c>
      <c r="H79" s="1" t="s">
        <v>160</v>
      </c>
      <c r="I79" s="2" t="s">
        <v>666</v>
      </c>
      <c r="J79" s="2" t="s">
        <v>667</v>
      </c>
    </row>
    <row r="80" spans="1:10" ht="45">
      <c r="A80" s="2" t="s">
        <v>784</v>
      </c>
      <c r="B80" s="43" t="s">
        <v>300</v>
      </c>
      <c r="C80" s="7">
        <f>'03_财务原始数据'!C54</f>
        <v>0.31390000000000001</v>
      </c>
      <c r="D80" s="7">
        <f>'03_财务原始数据'!D54</f>
        <v>0.17829999999999999</v>
      </c>
      <c r="E80" s="7">
        <f>'03_财务原始数据'!E54</f>
        <v>8.5300000000000001E-2</v>
      </c>
      <c r="F80" s="43" t="s">
        <v>147</v>
      </c>
      <c r="G80" s="43" t="s">
        <v>147</v>
      </c>
      <c r="H80" s="1" t="s">
        <v>160</v>
      </c>
      <c r="I80" s="2" t="s">
        <v>750</v>
      </c>
      <c r="J80" s="2" t="s">
        <v>646</v>
      </c>
    </row>
    <row r="81" spans="1:10" ht="165">
      <c r="A81" s="45" t="s">
        <v>785</v>
      </c>
      <c r="B81" s="46" t="s">
        <v>256</v>
      </c>
      <c r="C81" s="46" t="s">
        <v>147</v>
      </c>
      <c r="D81" s="59">
        <f>SUM('03_财务原始数据'!C15:E15)</f>
        <v>26493.440000000002</v>
      </c>
      <c r="E81" s="46" t="s">
        <v>147</v>
      </c>
      <c r="F81" s="46" t="s">
        <v>147</v>
      </c>
      <c r="G81" s="46" t="s">
        <v>147</v>
      </c>
      <c r="H81" s="48" t="s">
        <v>160</v>
      </c>
      <c r="I81" s="45" t="s">
        <v>786</v>
      </c>
      <c r="J81" s="45" t="s">
        <v>787</v>
      </c>
    </row>
    <row r="82" spans="1:10" ht="60">
      <c r="A82" s="2" t="s">
        <v>788</v>
      </c>
      <c r="B82" s="43" t="s">
        <v>789</v>
      </c>
      <c r="C82" s="43" t="s">
        <v>790</v>
      </c>
      <c r="D82" s="43" t="s">
        <v>790</v>
      </c>
      <c r="E82" s="7">
        <f>'03_财务原始数据'!E15/'03_财务原始数据'!E60</f>
        <v>78.785652173913036</v>
      </c>
      <c r="F82" s="43" t="s">
        <v>616</v>
      </c>
      <c r="G82" s="43" t="s">
        <v>616</v>
      </c>
      <c r="H82" s="1" t="s">
        <v>662</v>
      </c>
      <c r="I82" s="2" t="s">
        <v>791</v>
      </c>
      <c r="J82" s="2" t="s">
        <v>792</v>
      </c>
    </row>
    <row r="83" spans="1:10" ht="105">
      <c r="A83" s="30" t="s">
        <v>793</v>
      </c>
      <c r="B83" s="62" t="s">
        <v>300</v>
      </c>
      <c r="C83" s="62" t="s">
        <v>616</v>
      </c>
      <c r="D83" s="62" t="s">
        <v>616</v>
      </c>
      <c r="E83" s="63">
        <f>'03_财务原始数据'!E60/'03_财务原始数据'!E61</f>
        <v>0.35658914728682173</v>
      </c>
      <c r="F83" s="62" t="s">
        <v>616</v>
      </c>
      <c r="G83" s="62" t="s">
        <v>616</v>
      </c>
      <c r="H83" s="64" t="s">
        <v>160</v>
      </c>
      <c r="I83" s="30" t="s">
        <v>794</v>
      </c>
      <c r="J83" s="30" t="s">
        <v>795</v>
      </c>
    </row>
    <row r="84" spans="1:10" ht="60">
      <c r="A84" s="2" t="s">
        <v>796</v>
      </c>
      <c r="B84" s="43" t="s">
        <v>300</v>
      </c>
      <c r="C84" s="7" t="str">
        <f>IF('03_财务原始数据'!C32&gt;0,'03_财务原始数据'!C15/'03_财务原始数据'!C32,"不适用")</f>
        <v>不适用</v>
      </c>
      <c r="D84" s="7">
        <f>IF('03_财务原始数据'!D32&gt;0,'03_财务原始数据'!D15/'03_财务原始数据'!D32,"不适用")</f>
        <v>0.89220339846960561</v>
      </c>
      <c r="E84" s="7">
        <f>IF('03_财务原始数据'!E32&gt;0,'03_财务原始数据'!E15/'03_财务原始数据'!E32,"不适用")</f>
        <v>0.24539130411231228</v>
      </c>
      <c r="F84" s="43" t="s">
        <v>616</v>
      </c>
      <c r="G84" s="43" t="s">
        <v>616</v>
      </c>
      <c r="H84" s="1" t="s">
        <v>160</v>
      </c>
      <c r="I84" s="2" t="s">
        <v>797</v>
      </c>
      <c r="J84" s="2" t="s">
        <v>798</v>
      </c>
    </row>
    <row r="85" spans="1:10" ht="30">
      <c r="A85" s="2" t="s">
        <v>799</v>
      </c>
      <c r="B85" s="43" t="s">
        <v>300</v>
      </c>
      <c r="C85" s="7">
        <f>'03_财务原始数据'!C15/'03_财务原始数据'!C8</f>
        <v>0.56816028480922676</v>
      </c>
      <c r="D85" s="7">
        <f>'03_财务原始数据'!D15/'03_财务原始数据'!D8</f>
        <v>0.41665848429073082</v>
      </c>
      <c r="E85" s="7">
        <f>'03_财务原始数据'!E15/'03_财务原始数据'!E8</f>
        <v>0.21563886645216662</v>
      </c>
      <c r="F85" s="43" t="s">
        <v>616</v>
      </c>
      <c r="G85" s="43" t="s">
        <v>616</v>
      </c>
      <c r="H85" s="1" t="s">
        <v>160</v>
      </c>
      <c r="I85" s="2" t="s">
        <v>800</v>
      </c>
      <c r="J85" s="2" t="s">
        <v>147</v>
      </c>
    </row>
    <row r="86" spans="1:10" ht="39" customHeight="1">
      <c r="A86" s="87" t="s">
        <v>801</v>
      </c>
      <c r="B86" s="83"/>
      <c r="C86" s="83"/>
      <c r="D86" s="83"/>
      <c r="E86" s="83"/>
      <c r="F86" s="83"/>
      <c r="G86" s="83"/>
      <c r="H86" s="83"/>
      <c r="I86" s="83"/>
    </row>
    <row r="88" spans="1:10" ht="20" customHeight="1">
      <c r="A88" s="84" t="s">
        <v>802</v>
      </c>
      <c r="B88" s="83"/>
      <c r="C88" s="83"/>
      <c r="D88" s="83"/>
      <c r="E88" s="83"/>
      <c r="F88" s="83"/>
      <c r="G88" s="83"/>
      <c r="H88" s="83"/>
      <c r="I88" s="83"/>
    </row>
    <row r="89" spans="1:10" ht="30" customHeight="1">
      <c r="A89" s="4" t="s">
        <v>607</v>
      </c>
      <c r="B89" s="4" t="s">
        <v>250</v>
      </c>
      <c r="C89" s="4" t="s">
        <v>803</v>
      </c>
      <c r="D89" s="4" t="s">
        <v>804</v>
      </c>
      <c r="E89" s="4" t="s">
        <v>805</v>
      </c>
      <c r="F89" s="4" t="s">
        <v>608</v>
      </c>
      <c r="G89" s="4" t="s">
        <v>806</v>
      </c>
      <c r="H89" s="4" t="s">
        <v>609</v>
      </c>
      <c r="I89" s="4" t="s">
        <v>807</v>
      </c>
    </row>
    <row r="90" spans="1:10" ht="30">
      <c r="A90" s="2" t="s">
        <v>808</v>
      </c>
      <c r="B90" s="2" t="s">
        <v>256</v>
      </c>
      <c r="C90" s="7">
        <f>'02_发行上市原始数据'!B5*'02_发行上市原始数据'!B6/10000</f>
        <v>609932.22472000006</v>
      </c>
      <c r="D90" s="7">
        <f>'02_发行上市原始数据'!B26</f>
        <v>609932.22</v>
      </c>
      <c r="E90" s="7">
        <f>C90-D90</f>
        <v>4.720000084489584E-3</v>
      </c>
      <c r="F90" s="2" t="s">
        <v>662</v>
      </c>
      <c r="G90" s="2" t="s">
        <v>98</v>
      </c>
      <c r="H90" s="1" t="s">
        <v>809</v>
      </c>
      <c r="I90" s="1" t="s">
        <v>810</v>
      </c>
    </row>
    <row r="91" spans="1:10" ht="30">
      <c r="A91" s="2" t="s">
        <v>811</v>
      </c>
      <c r="B91" s="2" t="s">
        <v>256</v>
      </c>
      <c r="C91" s="7">
        <f>'02_发行上市原始数据'!B26-'02_发行上市原始数据'!B27</f>
        <v>591714.90999999992</v>
      </c>
      <c r="D91" s="7">
        <f>'02_发行上市原始数据'!B33</f>
        <v>591714.92000000004</v>
      </c>
      <c r="E91" s="7">
        <f>C91-D91</f>
        <v>-1.0000000125728548E-2</v>
      </c>
      <c r="F91" s="2" t="s">
        <v>662</v>
      </c>
      <c r="G91" s="2" t="s">
        <v>98</v>
      </c>
      <c r="H91" s="1" t="s">
        <v>812</v>
      </c>
      <c r="I91" s="1" t="s">
        <v>813</v>
      </c>
    </row>
    <row r="92" spans="1:10" ht="75">
      <c r="A92" s="2" t="s">
        <v>814</v>
      </c>
      <c r="B92" s="2" t="s">
        <v>256</v>
      </c>
      <c r="C92" s="7">
        <f>'02_发行上市原始数据'!B5*'02_发行上市原始数据'!B10/10000</f>
        <v>6099322.247200001</v>
      </c>
      <c r="D92" s="7">
        <f>'02_发行上市原始数据'!B45*10000</f>
        <v>6099299.9999999991</v>
      </c>
      <c r="E92" s="7">
        <f>C92-D92</f>
        <v>22.247200001962483</v>
      </c>
      <c r="F92" s="2" t="s">
        <v>662</v>
      </c>
      <c r="G92" s="2" t="s">
        <v>98</v>
      </c>
      <c r="H92" s="1" t="s">
        <v>815</v>
      </c>
      <c r="I92" s="1" t="s">
        <v>816</v>
      </c>
    </row>
    <row r="93" spans="1:10" ht="15">
      <c r="A93" s="18" t="s">
        <v>817</v>
      </c>
      <c r="B93" s="18"/>
      <c r="C93" s="18"/>
      <c r="D93" s="18"/>
      <c r="E93" s="18"/>
      <c r="F93" s="18"/>
      <c r="G93" s="18"/>
      <c r="H93" s="61"/>
      <c r="I93" s="18"/>
    </row>
    <row r="94" spans="1:10" ht="30">
      <c r="A94" s="2" t="s">
        <v>818</v>
      </c>
      <c r="B94" s="2" t="s">
        <v>734</v>
      </c>
      <c r="C94" s="65">
        <f>'02_发行上市原始数据'!B5/('03_财务原始数据'!E32/('02_发行上市原始数据'!B9))</f>
        <v>92.921946751331532</v>
      </c>
      <c r="D94" s="65">
        <f>'02_发行上市原始数据'!B36</f>
        <v>92.92</v>
      </c>
      <c r="E94" s="65">
        <f t="shared" ref="E94:E102" si="0">C94-D94</f>
        <v>1.9467513315305496E-3</v>
      </c>
      <c r="F94" s="2" t="s">
        <v>662</v>
      </c>
      <c r="G94" s="2" t="s">
        <v>195</v>
      </c>
      <c r="H94" s="1" t="s">
        <v>819</v>
      </c>
      <c r="I94" s="1" t="s">
        <v>646</v>
      </c>
    </row>
    <row r="95" spans="1:10" ht="15">
      <c r="A95" s="2" t="s">
        <v>820</v>
      </c>
      <c r="B95" s="2" t="s">
        <v>734</v>
      </c>
      <c r="C95" s="65">
        <f>'02_发行上市原始数据'!B5/('03_财务原始数据'!E31/('02_发行上市原始数据'!B9))</f>
        <v>197.31067024716899</v>
      </c>
      <c r="D95" s="65">
        <f>'02_发行上市原始数据'!B37</f>
        <v>197.31</v>
      </c>
      <c r="E95" s="65">
        <f t="shared" si="0"/>
        <v>6.7024716898345105E-4</v>
      </c>
      <c r="F95" s="2" t="s">
        <v>662</v>
      </c>
      <c r="G95" s="2" t="s">
        <v>195</v>
      </c>
      <c r="H95" s="1" t="s">
        <v>821</v>
      </c>
      <c r="I95" s="1" t="s">
        <v>646</v>
      </c>
    </row>
    <row r="96" spans="1:10" ht="30">
      <c r="A96" s="2" t="s">
        <v>822</v>
      </c>
      <c r="B96" s="2" t="s">
        <v>734</v>
      </c>
      <c r="C96" s="65">
        <f>'02_发行上市原始数据'!B5/('03_财务原始数据'!E32/('02_发行上市原始数据'!B11))</f>
        <v>103.24660750147947</v>
      </c>
      <c r="D96" s="65">
        <f>'02_发行上市原始数据'!B38</f>
        <v>103.25</v>
      </c>
      <c r="E96" s="65">
        <f t="shared" si="0"/>
        <v>-3.3924985205260327E-3</v>
      </c>
      <c r="F96" s="2" t="s">
        <v>662</v>
      </c>
      <c r="G96" s="2" t="s">
        <v>195</v>
      </c>
      <c r="H96" s="1" t="s">
        <v>823</v>
      </c>
      <c r="I96" s="1" t="s">
        <v>646</v>
      </c>
    </row>
    <row r="97" spans="1:9" ht="45">
      <c r="A97" s="54" t="s">
        <v>824</v>
      </c>
      <c r="B97" s="54" t="s">
        <v>734</v>
      </c>
      <c r="C97" s="70">
        <f>'02_发行上市原始数据'!B5/('03_财务原始数据'!E31/('02_发行上市原始数据'!B11))</f>
        <v>219.23407805240998</v>
      </c>
      <c r="D97" s="70">
        <f>'02_发行上市原始数据'!B39</f>
        <v>219.23</v>
      </c>
      <c r="E97" s="70">
        <f t="shared" si="0"/>
        <v>4.0780524099943705E-3</v>
      </c>
      <c r="F97" s="54" t="s">
        <v>662</v>
      </c>
      <c r="G97" s="54" t="s">
        <v>195</v>
      </c>
      <c r="H97" s="58" t="s">
        <v>825</v>
      </c>
      <c r="I97" s="58" t="s">
        <v>826</v>
      </c>
    </row>
    <row r="98" spans="1:9" ht="15">
      <c r="A98" s="2" t="s">
        <v>827</v>
      </c>
      <c r="B98" s="2" t="s">
        <v>734</v>
      </c>
      <c r="C98" s="65">
        <f>'02_发行上市原始数据'!B5/('03_财务原始数据'!E5/('02_发行上市原始数据'!B9))</f>
        <v>32.304414741559803</v>
      </c>
      <c r="D98" s="65">
        <f>'02_发行上市原始数据'!B40</f>
        <v>32.299999999999997</v>
      </c>
      <c r="E98" s="65">
        <f t="shared" si="0"/>
        <v>4.4147415598061457E-3</v>
      </c>
      <c r="F98" s="2" t="s">
        <v>662</v>
      </c>
      <c r="G98" s="2" t="s">
        <v>98</v>
      </c>
      <c r="H98" s="1" t="s">
        <v>828</v>
      </c>
      <c r="I98" s="1" t="s">
        <v>646</v>
      </c>
    </row>
    <row r="99" spans="1:9" ht="30">
      <c r="A99" s="2" t="s">
        <v>829</v>
      </c>
      <c r="B99" s="2" t="s">
        <v>734</v>
      </c>
      <c r="C99" s="65">
        <f>'02_发行上市原始数据'!B5/('03_财务原始数据'!E5/('02_发行上市原始数据'!B11))</f>
        <v>35.893794157288674</v>
      </c>
      <c r="D99" s="65">
        <f>'02_发行上市原始数据'!B41</f>
        <v>35.89</v>
      </c>
      <c r="E99" s="65">
        <f t="shared" si="0"/>
        <v>3.7941572886737163E-3</v>
      </c>
      <c r="F99" s="2" t="s">
        <v>662</v>
      </c>
      <c r="G99" s="2" t="s">
        <v>98</v>
      </c>
      <c r="H99" s="1" t="s">
        <v>830</v>
      </c>
      <c r="I99" s="1" t="s">
        <v>646</v>
      </c>
    </row>
    <row r="100" spans="1:9" ht="15">
      <c r="A100" s="2" t="s">
        <v>831</v>
      </c>
      <c r="B100" s="2" t="s">
        <v>47</v>
      </c>
      <c r="C100" s="7">
        <f>MIN('03_财务原始数据'!E31,'03_财务原始数据'!E32)*10000/('02_发行上市原始数据'!B10)</f>
        <v>0.68784926750279152</v>
      </c>
      <c r="D100" s="7">
        <f>'02_发行上市原始数据'!B43</f>
        <v>0.69</v>
      </c>
      <c r="E100" s="7">
        <f t="shared" si="0"/>
        <v>-2.1507324972084296E-3</v>
      </c>
      <c r="F100" s="2" t="s">
        <v>662</v>
      </c>
      <c r="G100" s="2" t="s">
        <v>98</v>
      </c>
      <c r="H100" s="1" t="s">
        <v>832</v>
      </c>
      <c r="I100" s="1" t="s">
        <v>646</v>
      </c>
    </row>
    <row r="101" spans="1:9" ht="15">
      <c r="A101" s="2" t="s">
        <v>833</v>
      </c>
      <c r="B101" s="2" t="s">
        <v>47</v>
      </c>
      <c r="C101" s="7">
        <f>('03_财务原始数据'!E42+'02_发行上市原始数据'!B33)*10000/('02_发行上市原始数据'!B10)</f>
        <v>21.069367203051819</v>
      </c>
      <c r="D101" s="7">
        <f>'02_发行上市原始数据'!B44</f>
        <v>21.07</v>
      </c>
      <c r="E101" s="7">
        <f t="shared" si="0"/>
        <v>-6.3279694818163534E-4</v>
      </c>
      <c r="F101" s="2" t="s">
        <v>662</v>
      </c>
      <c r="G101" s="2" t="s">
        <v>98</v>
      </c>
      <c r="H101" s="1" t="s">
        <v>834</v>
      </c>
      <c r="I101" s="1" t="s">
        <v>646</v>
      </c>
    </row>
    <row r="102" spans="1:9" ht="15">
      <c r="A102" s="2" t="s">
        <v>835</v>
      </c>
      <c r="B102" s="2" t="s">
        <v>734</v>
      </c>
      <c r="C102" s="65">
        <f>'02_发行上市原始数据'!B5/(('03_财务原始数据'!E42+'02_发行上市原始数据'!B33)*10000/('02_发行上市原始数据'!B10))</f>
        <v>7.1573103523563439</v>
      </c>
      <c r="D102" s="65">
        <f>'02_发行上市原始数据'!B42</f>
        <v>7.16</v>
      </c>
      <c r="E102" s="65">
        <f t="shared" si="0"/>
        <v>-2.6896476436562011E-3</v>
      </c>
      <c r="F102" s="2" t="s">
        <v>662</v>
      </c>
      <c r="G102" s="2" t="s">
        <v>98</v>
      </c>
      <c r="H102" s="1" t="s">
        <v>836</v>
      </c>
      <c r="I102" s="1" t="s">
        <v>646</v>
      </c>
    </row>
    <row r="103" spans="1:9" ht="15">
      <c r="A103" s="18" t="s">
        <v>837</v>
      </c>
      <c r="B103" s="18"/>
      <c r="C103" s="18"/>
      <c r="D103" s="18"/>
      <c r="E103" s="18"/>
      <c r="F103" s="18"/>
      <c r="G103" s="18"/>
      <c r="H103" s="61"/>
      <c r="I103" s="18"/>
    </row>
    <row r="104" spans="1:9" ht="45">
      <c r="A104" s="15" t="s">
        <v>838</v>
      </c>
      <c r="B104" s="15" t="s">
        <v>734</v>
      </c>
      <c r="C104" s="69">
        <f>'02_发行上市原始数据'!B39/'02_发行上市原始数据'!B47</f>
        <v>5.6854253112033186</v>
      </c>
      <c r="D104" s="68"/>
      <c r="E104" s="68"/>
      <c r="F104" s="15" t="s">
        <v>662</v>
      </c>
      <c r="G104" s="15" t="s">
        <v>98</v>
      </c>
      <c r="H104" s="53" t="s">
        <v>839</v>
      </c>
      <c r="I104" s="53" t="s">
        <v>840</v>
      </c>
    </row>
    <row r="105" spans="1:9" ht="45">
      <c r="A105" s="15" t="s">
        <v>841</v>
      </c>
      <c r="B105" s="15" t="s">
        <v>734</v>
      </c>
      <c r="C105" s="69">
        <f>'02_发行上市原始数据'!B41/'02_发行上市原始数据'!B48</f>
        <v>1.8181357649442758</v>
      </c>
      <c r="D105" s="68"/>
      <c r="E105" s="68"/>
      <c r="F105" s="15" t="s">
        <v>662</v>
      </c>
      <c r="G105" s="15" t="s">
        <v>98</v>
      </c>
      <c r="H105" s="53" t="s">
        <v>842</v>
      </c>
      <c r="I105" s="53" t="s">
        <v>843</v>
      </c>
    </row>
    <row r="106" spans="1:9" ht="15">
      <c r="A106" s="18" t="s">
        <v>844</v>
      </c>
      <c r="B106" s="18"/>
      <c r="C106" s="18"/>
      <c r="D106" s="18"/>
      <c r="E106" s="18"/>
      <c r="F106" s="18"/>
      <c r="G106" s="18"/>
      <c r="H106" s="61"/>
      <c r="I106" s="18"/>
    </row>
    <row r="107" spans="1:9" ht="15">
      <c r="A107" s="2" t="s">
        <v>845</v>
      </c>
      <c r="B107" s="2" t="s">
        <v>256</v>
      </c>
      <c r="C107" s="7">
        <f>'06_股权与募投原始数据'!D85</f>
        <v>420171.12</v>
      </c>
      <c r="D107" s="43"/>
      <c r="E107" s="43"/>
      <c r="F107" s="2" t="s">
        <v>160</v>
      </c>
      <c r="G107" s="2" t="s">
        <v>90</v>
      </c>
      <c r="H107" s="1" t="s">
        <v>846</v>
      </c>
      <c r="I107" s="1" t="s">
        <v>847</v>
      </c>
    </row>
    <row r="108" spans="1:9" ht="45">
      <c r="A108" s="45" t="s">
        <v>848</v>
      </c>
      <c r="B108" s="45" t="s">
        <v>256</v>
      </c>
      <c r="C108" s="59">
        <f>'02_发行上市原始数据'!B33-'06_股权与募投原始数据'!D85</f>
        <v>171543.80000000005</v>
      </c>
      <c r="D108" s="46"/>
      <c r="E108" s="46"/>
      <c r="F108" s="45" t="s">
        <v>662</v>
      </c>
      <c r="G108" s="45" t="s">
        <v>849</v>
      </c>
      <c r="H108" s="48" t="s">
        <v>850</v>
      </c>
      <c r="I108" s="48" t="s">
        <v>851</v>
      </c>
    </row>
    <row r="109" spans="1:9" ht="15">
      <c r="A109" s="45" t="s">
        <v>852</v>
      </c>
      <c r="B109" s="45" t="s">
        <v>300</v>
      </c>
      <c r="C109" s="47">
        <f>('02_发行上市原始数据'!B33-'06_股权与募投原始数据'!D85)/'06_股权与募投原始数据'!D85</f>
        <v>0.40827127766420512</v>
      </c>
      <c r="D109" s="49"/>
      <c r="E109" s="49"/>
      <c r="F109" s="45" t="s">
        <v>662</v>
      </c>
      <c r="G109" s="45" t="s">
        <v>849</v>
      </c>
      <c r="H109" s="48" t="s">
        <v>853</v>
      </c>
      <c r="I109" s="48" t="s">
        <v>854</v>
      </c>
    </row>
    <row r="110" spans="1:9" ht="15">
      <c r="A110" s="2" t="s">
        <v>855</v>
      </c>
      <c r="B110" s="2" t="s">
        <v>300</v>
      </c>
      <c r="C110" s="9">
        <f>'06_股权与募投原始数据'!B95/'02_发行上市原始数据'!B26</f>
        <v>2.986776137191113E-2</v>
      </c>
      <c r="D110" s="44"/>
      <c r="E110" s="44"/>
      <c r="F110" s="2" t="s">
        <v>662</v>
      </c>
      <c r="G110" s="2" t="s">
        <v>856</v>
      </c>
      <c r="H110" s="1" t="s">
        <v>857</v>
      </c>
      <c r="I110" s="1" t="s">
        <v>858</v>
      </c>
    </row>
    <row r="111" spans="1:9" ht="15">
      <c r="A111" s="2" t="s">
        <v>859</v>
      </c>
      <c r="B111" s="2" t="s">
        <v>300</v>
      </c>
      <c r="C111" s="9">
        <f>'06_股权与募投原始数据'!B90/'02_发行上市原始数据'!B26</f>
        <v>2.3772018471167174E-2</v>
      </c>
      <c r="D111" s="44"/>
      <c r="E111" s="44"/>
      <c r="F111" s="2" t="s">
        <v>662</v>
      </c>
      <c r="G111" s="2" t="s">
        <v>856</v>
      </c>
      <c r="H111" s="1" t="s">
        <v>860</v>
      </c>
      <c r="I111" s="1" t="s">
        <v>861</v>
      </c>
    </row>
    <row r="112" spans="1:9" ht="45">
      <c r="A112" s="2" t="s">
        <v>862</v>
      </c>
      <c r="B112" s="2" t="s">
        <v>300</v>
      </c>
      <c r="C112" s="9">
        <f>('06_股权与募投原始数据'!D81+'06_股权与募投原始数据'!D82+'06_股权与募投原始数据'!D83)/'06_股权与募投原始数据'!D85</f>
        <v>0.85146197101790333</v>
      </c>
      <c r="D112" s="44"/>
      <c r="E112" s="44"/>
      <c r="F112" s="2" t="s">
        <v>662</v>
      </c>
      <c r="G112" s="2" t="s">
        <v>90</v>
      </c>
      <c r="H112" s="1" t="s">
        <v>863</v>
      </c>
      <c r="I112" s="1" t="s">
        <v>864</v>
      </c>
    </row>
    <row r="113" spans="1:9" ht="45">
      <c r="A113" s="15" t="s">
        <v>865</v>
      </c>
      <c r="B113" s="15" t="s">
        <v>734</v>
      </c>
      <c r="C113" s="69">
        <f>('02_发行上市原始数据'!B33-'06_股权与募投原始数据'!D85)/'03_财务原始数据'!E5</f>
        <v>1.0095150898094849</v>
      </c>
      <c r="D113" s="68"/>
      <c r="E113" s="68"/>
      <c r="F113" s="15" t="s">
        <v>662</v>
      </c>
      <c r="G113" s="15" t="s">
        <v>5</v>
      </c>
      <c r="H113" s="53" t="s">
        <v>866</v>
      </c>
      <c r="I113" s="53" t="s">
        <v>867</v>
      </c>
    </row>
    <row r="114" spans="1:9" ht="39" customHeight="1">
      <c r="A114" s="87" t="s">
        <v>868</v>
      </c>
      <c r="B114" s="83"/>
      <c r="C114" s="83"/>
      <c r="D114" s="83"/>
      <c r="E114" s="83"/>
      <c r="F114" s="83"/>
      <c r="G114" s="83"/>
      <c r="H114" s="83"/>
      <c r="I114" s="83"/>
    </row>
    <row r="116" spans="1:9" ht="20" customHeight="1">
      <c r="A116" s="84" t="s">
        <v>869</v>
      </c>
      <c r="B116" s="83"/>
      <c r="C116" s="83"/>
      <c r="D116" s="83"/>
      <c r="E116" s="83"/>
      <c r="F116" s="83"/>
      <c r="G116" s="83"/>
      <c r="H116" s="83"/>
      <c r="I116" s="83"/>
    </row>
    <row r="117" spans="1:9" ht="30" customHeight="1">
      <c r="A117" s="4" t="s">
        <v>154</v>
      </c>
      <c r="B117" s="4" t="s">
        <v>250</v>
      </c>
      <c r="C117" s="4" t="s">
        <v>870</v>
      </c>
      <c r="D117" s="4" t="s">
        <v>871</v>
      </c>
      <c r="E117" s="4" t="s">
        <v>872</v>
      </c>
      <c r="F117" s="4" t="s">
        <v>873</v>
      </c>
      <c r="G117" s="4" t="s">
        <v>874</v>
      </c>
      <c r="H117" s="4" t="s">
        <v>875</v>
      </c>
      <c r="I117" s="4" t="s">
        <v>876</v>
      </c>
    </row>
    <row r="118" spans="1:9" ht="120">
      <c r="A118" s="15" t="s">
        <v>255</v>
      </c>
      <c r="B118" s="50" t="s">
        <v>256</v>
      </c>
      <c r="C118" s="17">
        <f>'03_财务原始数据'!C112</f>
        <v>105200</v>
      </c>
      <c r="D118" s="17">
        <f>'03_财务原始数据'!D112</f>
        <v>112800</v>
      </c>
      <c r="E118" s="17">
        <f>'03_财务原始数据'!C88</f>
        <v>115224.56</v>
      </c>
      <c r="F118" s="51">
        <f>E118/C118-1</f>
        <v>9.5290494296577988E-2</v>
      </c>
      <c r="G118" s="51">
        <f>E118/D118-1</f>
        <v>2.1494326241134676E-2</v>
      </c>
      <c r="H118" s="71" t="str">
        <f>IF(E118&gt;D118,"超出上限",IF(E118&lt;C118,"低于下限","区间内"))</f>
        <v>超出上限</v>
      </c>
      <c r="I118" s="53" t="s">
        <v>877</v>
      </c>
    </row>
    <row r="119" spans="1:9" ht="60">
      <c r="A119" s="15" t="s">
        <v>282</v>
      </c>
      <c r="B119" s="50" t="s">
        <v>256</v>
      </c>
      <c r="C119" s="17">
        <f>'03_财务原始数据'!C113</f>
        <v>25800</v>
      </c>
      <c r="D119" s="17">
        <f>'03_财务原始数据'!D113</f>
        <v>30600</v>
      </c>
      <c r="E119" s="17">
        <f>'03_财务原始数据'!C91</f>
        <v>27399.99</v>
      </c>
      <c r="F119" s="51">
        <f>E119/C119-1</f>
        <v>6.201511627906986E-2</v>
      </c>
      <c r="G119" s="51">
        <f>E119/D119-1</f>
        <v>-0.10457549019607837</v>
      </c>
      <c r="H119" s="71" t="str">
        <f>IF(E119&gt;D119,"超出上限",IF(E119&lt;C119,"低于下限","区间内"))</f>
        <v>区间内</v>
      </c>
      <c r="I119" s="53" t="s">
        <v>878</v>
      </c>
    </row>
    <row r="120" spans="1:9" ht="60">
      <c r="A120" s="15" t="s">
        <v>323</v>
      </c>
      <c r="B120" s="50" t="s">
        <v>256</v>
      </c>
      <c r="C120" s="17">
        <f>'03_财务原始数据'!C114</f>
        <v>23600</v>
      </c>
      <c r="D120" s="17">
        <f>'03_财务原始数据'!D114</f>
        <v>28300</v>
      </c>
      <c r="E120" s="17">
        <f>'03_财务原始数据'!C92</f>
        <v>24393.03</v>
      </c>
      <c r="F120" s="51">
        <f>E120/C120-1</f>
        <v>3.3602966101694776E-2</v>
      </c>
      <c r="G120" s="51">
        <f>E120/D120-1</f>
        <v>-0.13805547703180221</v>
      </c>
      <c r="H120" s="71" t="str">
        <f>IF(E120&gt;D120,"超出上限",IF(E120&lt;C120,"低于下限","区间内"))</f>
        <v>区间内</v>
      </c>
      <c r="I120" s="53" t="s">
        <v>878</v>
      </c>
    </row>
    <row r="121" spans="1:9" ht="75">
      <c r="A121" s="2" t="s">
        <v>879</v>
      </c>
      <c r="B121" s="43" t="s">
        <v>256</v>
      </c>
      <c r="C121" s="7">
        <f>'03_财务原始数据'!E112</f>
        <v>77571.92</v>
      </c>
      <c r="D121" s="7">
        <f>'03_财务原始数据'!E112</f>
        <v>77571.92</v>
      </c>
      <c r="E121" s="7">
        <f>'03_财务原始数据'!D88</f>
        <v>77571.92</v>
      </c>
      <c r="F121" s="44" t="s">
        <v>147</v>
      </c>
      <c r="G121" s="44" t="s">
        <v>147</v>
      </c>
      <c r="H121" s="1" t="s">
        <v>147</v>
      </c>
      <c r="I121" s="2" t="s">
        <v>880</v>
      </c>
    </row>
    <row r="122" spans="1:9" ht="75">
      <c r="A122" s="2" t="s">
        <v>881</v>
      </c>
      <c r="B122" s="43" t="s">
        <v>300</v>
      </c>
      <c r="C122" s="7">
        <f>'03_财务原始数据'!C112/'03_财务原始数据'!E112-1</f>
        <v>0.35616083758143424</v>
      </c>
      <c r="D122" s="7">
        <f>'03_财务原始数据'!D112/'03_财务原始数据'!E112-1</f>
        <v>0.45413443421279243</v>
      </c>
      <c r="E122" s="43" t="s">
        <v>147</v>
      </c>
      <c r="F122" s="44" t="s">
        <v>147</v>
      </c>
      <c r="G122" s="44" t="s">
        <v>147</v>
      </c>
      <c r="H122" s="1" t="s">
        <v>147</v>
      </c>
      <c r="I122" s="2" t="s">
        <v>882</v>
      </c>
    </row>
    <row r="123" spans="1:9" ht="60">
      <c r="A123" s="45" t="s">
        <v>883</v>
      </c>
      <c r="B123" s="46" t="s">
        <v>300</v>
      </c>
      <c r="C123" s="46" t="s">
        <v>147</v>
      </c>
      <c r="D123" s="46" t="s">
        <v>147</v>
      </c>
      <c r="E123" s="59">
        <f>'03_财务原始数据'!C88/'03_财务原始数据'!D88-1</f>
        <v>0.48539007414023017</v>
      </c>
      <c r="F123" s="49" t="s">
        <v>147</v>
      </c>
      <c r="G123" s="49" t="s">
        <v>147</v>
      </c>
      <c r="H123" s="48" t="s">
        <v>147</v>
      </c>
      <c r="I123" s="45" t="s">
        <v>884</v>
      </c>
    </row>
    <row r="124" spans="1:9" ht="26" customHeight="1">
      <c r="A124" s="85" t="s">
        <v>885</v>
      </c>
      <c r="B124" s="83"/>
      <c r="C124" s="83"/>
      <c r="D124" s="83"/>
      <c r="E124" s="83"/>
      <c r="F124" s="83"/>
      <c r="G124" s="83"/>
      <c r="H124" s="83"/>
      <c r="I124" s="83"/>
    </row>
    <row r="126" spans="1:9" ht="20" customHeight="1">
      <c r="A126" s="84" t="s">
        <v>886</v>
      </c>
      <c r="B126" s="83"/>
      <c r="C126" s="83"/>
      <c r="D126" s="83"/>
      <c r="E126" s="83"/>
      <c r="F126" s="83"/>
      <c r="G126" s="83"/>
      <c r="H126" s="83"/>
      <c r="I126" s="83"/>
    </row>
    <row r="127" spans="1:9" ht="30" customHeight="1">
      <c r="A127" s="4" t="s">
        <v>607</v>
      </c>
      <c r="B127" s="4" t="s">
        <v>250</v>
      </c>
      <c r="C127" s="4" t="s">
        <v>155</v>
      </c>
      <c r="D127" s="4" t="s">
        <v>887</v>
      </c>
      <c r="E127" s="4" t="s">
        <v>608</v>
      </c>
      <c r="F127" s="4" t="s">
        <v>157</v>
      </c>
      <c r="G127" s="4"/>
      <c r="H127" s="4" t="s">
        <v>609</v>
      </c>
      <c r="I127" s="4" t="s">
        <v>888</v>
      </c>
    </row>
    <row r="128" spans="1:9" ht="15">
      <c r="A128" s="2" t="s">
        <v>889</v>
      </c>
      <c r="B128" s="2" t="s">
        <v>47</v>
      </c>
      <c r="C128" s="10">
        <f>'02_发行上市原始数据'!C66</f>
        <v>845</v>
      </c>
      <c r="D128" s="2" t="s">
        <v>240</v>
      </c>
      <c r="E128" s="2" t="s">
        <v>716</v>
      </c>
      <c r="F128" s="2" t="s">
        <v>136</v>
      </c>
      <c r="G128" s="2"/>
      <c r="H128" s="1" t="s">
        <v>890</v>
      </c>
      <c r="I128" s="1" t="s">
        <v>891</v>
      </c>
    </row>
    <row r="129" spans="1:9" ht="15">
      <c r="A129" s="2" t="s">
        <v>892</v>
      </c>
      <c r="B129" s="2" t="s">
        <v>47</v>
      </c>
      <c r="C129" s="10">
        <f>'02_发行上市原始数据'!D66</f>
        <v>1100</v>
      </c>
      <c r="D129" s="2" t="s">
        <v>240</v>
      </c>
      <c r="E129" s="2" t="s">
        <v>716</v>
      </c>
      <c r="F129" s="2" t="s">
        <v>136</v>
      </c>
      <c r="G129" s="2"/>
      <c r="H129" s="1" t="s">
        <v>893</v>
      </c>
      <c r="I129" s="1" t="s">
        <v>894</v>
      </c>
    </row>
    <row r="130" spans="1:9" ht="30">
      <c r="A130" s="2" t="s">
        <v>895</v>
      </c>
      <c r="B130" s="2" t="s">
        <v>47</v>
      </c>
      <c r="C130" s="10">
        <f>'02_发行上市原始数据'!C73</f>
        <v>585</v>
      </c>
      <c r="D130" s="2" t="s">
        <v>139</v>
      </c>
      <c r="E130" s="2" t="s">
        <v>716</v>
      </c>
      <c r="F130" s="2" t="s">
        <v>136</v>
      </c>
      <c r="G130" s="2"/>
      <c r="H130" s="1" t="s">
        <v>896</v>
      </c>
      <c r="I130" s="1" t="s">
        <v>897</v>
      </c>
    </row>
    <row r="131" spans="1:9" ht="30">
      <c r="A131" s="2" t="s">
        <v>898</v>
      </c>
      <c r="B131" s="2" t="s">
        <v>300</v>
      </c>
      <c r="C131" s="9">
        <f>'02_发行上市原始数据'!C66/'02_发行上市原始数据'!B5-1</f>
        <v>4.6034482758620685</v>
      </c>
      <c r="D131" s="2" t="s">
        <v>899</v>
      </c>
      <c r="E131" s="2" t="s">
        <v>662</v>
      </c>
      <c r="F131" s="2" t="s">
        <v>900</v>
      </c>
      <c r="G131" s="2"/>
      <c r="H131" s="1" t="s">
        <v>901</v>
      </c>
      <c r="I131" s="1" t="s">
        <v>902</v>
      </c>
    </row>
    <row r="132" spans="1:9" ht="45">
      <c r="A132" s="2" t="s">
        <v>903</v>
      </c>
      <c r="B132" s="2" t="s">
        <v>300</v>
      </c>
      <c r="C132" s="9">
        <f>'02_发行上市原始数据'!C73/'02_发行上市原始数据'!B5-1</f>
        <v>2.8793103448275859</v>
      </c>
      <c r="D132" s="2" t="s">
        <v>899</v>
      </c>
      <c r="E132" s="2" t="s">
        <v>662</v>
      </c>
      <c r="F132" s="2" t="s">
        <v>900</v>
      </c>
      <c r="G132" s="2"/>
      <c r="H132" s="1" t="s">
        <v>904</v>
      </c>
      <c r="I132" s="1" t="s">
        <v>905</v>
      </c>
    </row>
    <row r="133" spans="1:9" ht="30">
      <c r="A133" s="15" t="s">
        <v>906</v>
      </c>
      <c r="B133" s="15" t="s">
        <v>300</v>
      </c>
      <c r="C133" s="51">
        <f>'02_发行上市原始数据'!C73/'02_发行上市原始数据'!C66-1</f>
        <v>-0.30769230769230771</v>
      </c>
      <c r="D133" s="15" t="s">
        <v>907</v>
      </c>
      <c r="E133" s="15" t="s">
        <v>716</v>
      </c>
      <c r="F133" s="15" t="s">
        <v>136</v>
      </c>
      <c r="G133" s="15"/>
      <c r="H133" s="53" t="s">
        <v>908</v>
      </c>
      <c r="I133" s="53" t="s">
        <v>909</v>
      </c>
    </row>
    <row r="134" spans="1:9" ht="30">
      <c r="A134" s="15" t="s">
        <v>910</v>
      </c>
      <c r="B134" s="15" t="s">
        <v>300</v>
      </c>
      <c r="C134" s="51">
        <f>'02_发行上市原始数据'!C73/'02_发行上市原始数据'!D66-1</f>
        <v>-0.46818181818181814</v>
      </c>
      <c r="D134" s="15" t="s">
        <v>911</v>
      </c>
      <c r="E134" s="15" t="s">
        <v>716</v>
      </c>
      <c r="F134" s="15" t="s">
        <v>136</v>
      </c>
      <c r="G134" s="15"/>
      <c r="H134" s="53" t="s">
        <v>912</v>
      </c>
      <c r="I134" s="53" t="s">
        <v>913</v>
      </c>
    </row>
    <row r="135" spans="1:9" ht="30">
      <c r="A135" s="2" t="s">
        <v>914</v>
      </c>
      <c r="B135" s="2" t="s">
        <v>915</v>
      </c>
      <c r="C135" s="7">
        <f>'02_发行上市原始数据'!C66*'02_发行上市原始数据'!B10/100000000</f>
        <v>3417.723673</v>
      </c>
      <c r="D135" s="2" t="s">
        <v>916</v>
      </c>
      <c r="E135" s="2" t="s">
        <v>662</v>
      </c>
      <c r="F135" s="2" t="s">
        <v>900</v>
      </c>
      <c r="G135" s="2"/>
      <c r="H135" s="1" t="s">
        <v>917</v>
      </c>
      <c r="I135" s="1" t="s">
        <v>918</v>
      </c>
    </row>
    <row r="136" spans="1:9" ht="30">
      <c r="A136" s="2" t="s">
        <v>919</v>
      </c>
      <c r="B136" s="2" t="s">
        <v>915</v>
      </c>
      <c r="C136" s="7">
        <f>'02_发行上市原始数据'!D66*'02_发行上市原始数据'!B10/100000000</f>
        <v>4449.1077400000004</v>
      </c>
      <c r="D136" s="2" t="s">
        <v>916</v>
      </c>
      <c r="E136" s="2" t="s">
        <v>662</v>
      </c>
      <c r="F136" s="2" t="s">
        <v>900</v>
      </c>
      <c r="G136" s="2"/>
      <c r="H136" s="1" t="s">
        <v>920</v>
      </c>
      <c r="I136" s="1" t="s">
        <v>921</v>
      </c>
    </row>
    <row r="137" spans="1:9" ht="30">
      <c r="A137" s="45" t="s">
        <v>922</v>
      </c>
      <c r="B137" s="45" t="s">
        <v>915</v>
      </c>
      <c r="C137" s="59">
        <f>'02_发行上市原始数据'!C73*'02_发行上市原始数据'!B10/100000000</f>
        <v>2366.1163889999998</v>
      </c>
      <c r="D137" s="45" t="s">
        <v>916</v>
      </c>
      <c r="E137" s="45" t="s">
        <v>662</v>
      </c>
      <c r="F137" s="45" t="s">
        <v>900</v>
      </c>
      <c r="G137" s="45"/>
      <c r="H137" s="48" t="s">
        <v>923</v>
      </c>
      <c r="I137" s="48" t="s">
        <v>924</v>
      </c>
    </row>
    <row r="138" spans="1:9" ht="60">
      <c r="A138" s="2" t="s">
        <v>925</v>
      </c>
      <c r="B138" s="2" t="s">
        <v>734</v>
      </c>
      <c r="C138" s="65">
        <f>('02_发行上市原始数据'!C73*'02_发行上市原始数据'!B10/10000)/'03_财务原始数据'!E5</f>
        <v>139.24316698948189</v>
      </c>
      <c r="D138" s="2" t="s">
        <v>926</v>
      </c>
      <c r="E138" s="2" t="s">
        <v>662</v>
      </c>
      <c r="F138" s="2" t="s">
        <v>927</v>
      </c>
      <c r="G138" s="2"/>
      <c r="H138" s="1" t="s">
        <v>928</v>
      </c>
      <c r="I138" s="1" t="s">
        <v>929</v>
      </c>
    </row>
    <row r="139" spans="1:9" ht="30">
      <c r="A139" s="15" t="s">
        <v>930</v>
      </c>
      <c r="B139" s="15" t="s">
        <v>734</v>
      </c>
      <c r="C139" s="69">
        <f>('02_发行上市原始数据'!C73*'02_发行上市原始数据'!B10/10000)/'03_财务原始数据'!E31</f>
        <v>850.47702692745247</v>
      </c>
      <c r="D139" s="15" t="s">
        <v>931</v>
      </c>
      <c r="E139" s="15" t="s">
        <v>662</v>
      </c>
      <c r="F139" s="15" t="s">
        <v>927</v>
      </c>
      <c r="G139" s="15"/>
      <c r="H139" s="53" t="s">
        <v>932</v>
      </c>
      <c r="I139" s="53" t="s">
        <v>933</v>
      </c>
    </row>
    <row r="140" spans="1:9" ht="45">
      <c r="A140" s="15" t="s">
        <v>934</v>
      </c>
      <c r="B140" s="15" t="s">
        <v>734</v>
      </c>
      <c r="C140" s="69">
        <f>('02_发行上市原始数据'!C73*'02_发行上市原始数据'!B10/10000)/'03_财务原始数据'!E32</f>
        <v>400.52563254884279</v>
      </c>
      <c r="D140" s="15" t="s">
        <v>935</v>
      </c>
      <c r="E140" s="15" t="s">
        <v>662</v>
      </c>
      <c r="F140" s="15" t="s">
        <v>927</v>
      </c>
      <c r="G140" s="15"/>
      <c r="H140" s="53" t="s">
        <v>936</v>
      </c>
      <c r="I140" s="53" t="s">
        <v>937</v>
      </c>
    </row>
    <row r="141" spans="1:9" ht="45">
      <c r="A141" s="15" t="s">
        <v>938</v>
      </c>
      <c r="B141" s="15" t="s">
        <v>256</v>
      </c>
      <c r="C141" s="17">
        <f>'03_财务原始数据'!C88*2</f>
        <v>230449.12</v>
      </c>
      <c r="D141" s="15" t="s">
        <v>939</v>
      </c>
      <c r="E141" s="15" t="s">
        <v>940</v>
      </c>
      <c r="F141" s="15" t="s">
        <v>98</v>
      </c>
      <c r="G141" s="15"/>
      <c r="H141" s="53" t="s">
        <v>941</v>
      </c>
      <c r="I141" s="53" t="s">
        <v>942</v>
      </c>
    </row>
    <row r="142" spans="1:9" ht="30">
      <c r="A142" s="15" t="s">
        <v>943</v>
      </c>
      <c r="B142" s="15" t="s">
        <v>734</v>
      </c>
      <c r="C142" s="69">
        <f>('02_发行上市原始数据'!C73*'02_发行上市原始数据'!B10/10000)/('03_财务原始数据'!C88*2)</f>
        <v>102.67413427310983</v>
      </c>
      <c r="D142" s="15" t="s">
        <v>944</v>
      </c>
      <c r="E142" s="15" t="s">
        <v>940</v>
      </c>
      <c r="F142" s="15" t="s">
        <v>900</v>
      </c>
      <c r="G142" s="15"/>
      <c r="H142" s="53" t="s">
        <v>945</v>
      </c>
      <c r="I142" s="53" t="s">
        <v>946</v>
      </c>
    </row>
    <row r="143" spans="1:9" ht="15">
      <c r="A143" s="2" t="s">
        <v>947</v>
      </c>
      <c r="B143" s="2" t="s">
        <v>915</v>
      </c>
      <c r="C143" s="7">
        <f>SUM('02_发行上市原始数据'!G66:G73)/100000000</f>
        <v>561.13470050000001</v>
      </c>
      <c r="D143" s="2" t="s">
        <v>948</v>
      </c>
      <c r="E143" s="2" t="s">
        <v>716</v>
      </c>
      <c r="F143" s="2" t="s">
        <v>136</v>
      </c>
      <c r="G143" s="2"/>
      <c r="H143" s="1" t="s">
        <v>949</v>
      </c>
      <c r="I143" s="1" t="s">
        <v>950</v>
      </c>
    </row>
    <row r="144" spans="1:9" ht="15">
      <c r="A144" s="2" t="s">
        <v>951</v>
      </c>
      <c r="B144" s="2" t="s">
        <v>915</v>
      </c>
      <c r="C144" s="7">
        <f>AVERAGE('02_发行上市原始数据'!G66:G73)/100000000</f>
        <v>70.141837562500001</v>
      </c>
      <c r="D144" s="2" t="s">
        <v>952</v>
      </c>
      <c r="E144" s="2" t="s">
        <v>716</v>
      </c>
      <c r="F144" s="2" t="s">
        <v>136</v>
      </c>
      <c r="G144" s="2"/>
      <c r="H144" s="1" t="s">
        <v>953</v>
      </c>
      <c r="I144" s="1" t="s">
        <v>954</v>
      </c>
    </row>
    <row r="145" spans="1:9" ht="15">
      <c r="A145" s="2" t="s">
        <v>955</v>
      </c>
      <c r="B145" s="2" t="s">
        <v>300</v>
      </c>
      <c r="C145" s="9">
        <f>AVERAGE('02_发行上市原始数据'!K66:K73)</f>
        <v>0.31967500000000004</v>
      </c>
      <c r="D145" s="2" t="s">
        <v>952</v>
      </c>
      <c r="E145" s="2" t="s">
        <v>716</v>
      </c>
      <c r="F145" s="2" t="s">
        <v>136</v>
      </c>
      <c r="G145" s="2"/>
      <c r="H145" s="1" t="s">
        <v>956</v>
      </c>
      <c r="I145" s="1" t="s">
        <v>957</v>
      </c>
    </row>
    <row r="146" spans="1:9" ht="75">
      <c r="A146" s="15" t="s">
        <v>958</v>
      </c>
      <c r="B146" s="15" t="s">
        <v>959</v>
      </c>
      <c r="C146" s="72">
        <f>'02_发行上市原始数据'!B6-'02_发行上市原始数据'!B15-'02_发行上市原始数据'!B17*0.1</f>
        <v>30092133.199999999</v>
      </c>
      <c r="D146" s="15" t="s">
        <v>960</v>
      </c>
      <c r="E146" s="15" t="s">
        <v>662</v>
      </c>
      <c r="F146" s="15" t="s">
        <v>900</v>
      </c>
      <c r="G146" s="15"/>
      <c r="H146" s="53" t="s">
        <v>961</v>
      </c>
      <c r="I146" s="53" t="s">
        <v>962</v>
      </c>
    </row>
    <row r="147" spans="1:9" ht="90">
      <c r="A147" s="30" t="s">
        <v>963</v>
      </c>
      <c r="B147" s="30" t="s">
        <v>300</v>
      </c>
      <c r="C147" s="73">
        <f>('02_发行上市原始数据'!F66*100)/('02_发行上市原始数据'!B6-'02_发行上市原始数据'!B15-'02_发行上市原始数据'!B17*0.1)</f>
        <v>0.85264477029498198</v>
      </c>
      <c r="D147" s="30" t="s">
        <v>964</v>
      </c>
      <c r="E147" s="30" t="s">
        <v>662</v>
      </c>
      <c r="F147" s="30" t="s">
        <v>900</v>
      </c>
      <c r="G147" s="30"/>
      <c r="H147" s="64" t="s">
        <v>965</v>
      </c>
      <c r="I147" s="64" t="s">
        <v>966</v>
      </c>
    </row>
    <row r="148" spans="1:9" ht="26" customHeight="1">
      <c r="A148" s="85" t="s">
        <v>967</v>
      </c>
      <c r="B148" s="83"/>
      <c r="C148" s="83"/>
      <c r="D148" s="83"/>
      <c r="E148" s="83"/>
      <c r="F148" s="83"/>
      <c r="G148" s="83"/>
      <c r="H148" s="83"/>
      <c r="I148" s="83"/>
    </row>
    <row r="150" spans="1:9" ht="20" customHeight="1">
      <c r="A150" s="84" t="s">
        <v>968</v>
      </c>
      <c r="B150" s="83"/>
      <c r="C150" s="83"/>
      <c r="D150" s="83"/>
      <c r="E150" s="83"/>
      <c r="F150" s="83"/>
      <c r="G150" s="83"/>
      <c r="H150" s="83"/>
      <c r="I150" s="83"/>
    </row>
    <row r="151" spans="1:9" ht="30" customHeight="1">
      <c r="A151" s="4" t="s">
        <v>969</v>
      </c>
      <c r="B151" s="4" t="s">
        <v>970</v>
      </c>
      <c r="C151" s="4" t="s">
        <v>971</v>
      </c>
      <c r="D151" s="4" t="s">
        <v>424</v>
      </c>
      <c r="E151" s="4" t="s">
        <v>972</v>
      </c>
      <c r="F151" s="4" t="s">
        <v>973</v>
      </c>
      <c r="G151" s="4" t="s">
        <v>974</v>
      </c>
      <c r="H151" s="4" t="s">
        <v>609</v>
      </c>
      <c r="I151" s="4" t="s">
        <v>157</v>
      </c>
    </row>
    <row r="152" spans="1:9" ht="30">
      <c r="A152" s="2" t="s">
        <v>450</v>
      </c>
      <c r="B152" s="7">
        <f>'05_客户与同业原始数据'!F25</f>
        <v>200099.9</v>
      </c>
      <c r="C152" s="65">
        <f>'05_客户与同业原始数据'!F30/'05_客户与同业原始数据'!F25</f>
        <v>0.84921046937054945</v>
      </c>
      <c r="D152" s="9">
        <f>'05_客户与同业原始数据'!G25</f>
        <v>0.37669999999999998</v>
      </c>
      <c r="E152" s="7">
        <f>('05_客户与同业原始数据'!G25-'05_客户与同业原始数据'!G30)*100</f>
        <v>-22.770000000000007</v>
      </c>
      <c r="F152" s="9">
        <f>('05_客户与同业原始数据'!F25/'05_客户与同业原始数据'!B25)^(1/2)-1</f>
        <v>0.37674524884141425</v>
      </c>
      <c r="G152" s="1" t="s">
        <v>975</v>
      </c>
      <c r="H152" s="1" t="s">
        <v>976</v>
      </c>
      <c r="I152" s="2" t="s">
        <v>90</v>
      </c>
    </row>
    <row r="153" spans="1:9" ht="15">
      <c r="A153" s="2" t="s">
        <v>451</v>
      </c>
      <c r="B153" s="7">
        <f>'05_客户与同业原始数据'!F26</f>
        <v>49348.3</v>
      </c>
      <c r="C153" s="65">
        <f>'05_客户与同业原始数据'!F30/'05_客户与同业原始数据'!F26</f>
        <v>3.4434201380797309</v>
      </c>
      <c r="D153" s="9">
        <f>'05_客户与同业原始数据'!G26</f>
        <v>0.46489999999999998</v>
      </c>
      <c r="E153" s="7">
        <f>('05_客户与同业原始数据'!G26-'05_客户与同业原始数据'!G30)*100</f>
        <v>-13.950000000000006</v>
      </c>
      <c r="F153" s="9">
        <f>('05_客户与同业原始数据'!F26/'05_客户与同业原始数据'!B26)^(1/2)-1</f>
        <v>0.31129809328413227</v>
      </c>
      <c r="G153" s="1" t="s">
        <v>977</v>
      </c>
      <c r="H153" s="1" t="s">
        <v>976</v>
      </c>
      <c r="I153" s="2" t="s">
        <v>90</v>
      </c>
    </row>
    <row r="154" spans="1:9" ht="15">
      <c r="A154" s="2" t="s">
        <v>452</v>
      </c>
      <c r="B154" s="7">
        <f>'05_客户与同业原始数据'!F27</f>
        <v>33749.06</v>
      </c>
      <c r="C154" s="65">
        <f>'05_客户与同业原始数据'!F30/'05_客户与同业原始数据'!F27</f>
        <v>5.0350122344148254</v>
      </c>
      <c r="D154" s="9">
        <f>'05_客户与同业原始数据'!G27</f>
        <v>0.52829999999999999</v>
      </c>
      <c r="E154" s="7">
        <f>('05_客户与同业原始数据'!G27-'05_客户与同业原始数据'!G30)*100</f>
        <v>-7.6100000000000056</v>
      </c>
      <c r="F154" s="9">
        <f>('05_客户与同业原始数据'!F27/'05_客户与同业原始数据'!B27)^(1/2)-1</f>
        <v>1.5951195691447415</v>
      </c>
      <c r="G154" s="1" t="s">
        <v>977</v>
      </c>
      <c r="H154" s="1" t="s">
        <v>976</v>
      </c>
      <c r="I154" s="2" t="s">
        <v>90</v>
      </c>
    </row>
    <row r="155" spans="1:9" ht="60">
      <c r="A155" s="2" t="s">
        <v>453</v>
      </c>
      <c r="B155" s="7">
        <f>'05_客户与同业原始数据'!F28</f>
        <v>25818.79</v>
      </c>
      <c r="C155" s="65">
        <f>'05_客户与同业原始数据'!F30/'05_客户与同业原始数据'!F28</f>
        <v>6.5815218296442239</v>
      </c>
      <c r="D155" s="9">
        <f>'05_客户与同业原始数据'!G28</f>
        <v>0.4078</v>
      </c>
      <c r="E155" s="7">
        <f>('05_客户与同业原始数据'!G28-'05_客户与同业原始数据'!G30)*100</f>
        <v>-19.660000000000004</v>
      </c>
      <c r="F155" s="9">
        <f>('05_客户与同业原始数据'!F28/'05_客户与同业原始数据'!B28)^(1/2)-1</f>
        <v>1.1868455754841176</v>
      </c>
      <c r="G155" s="1" t="s">
        <v>978</v>
      </c>
      <c r="H155" s="1" t="s">
        <v>976</v>
      </c>
      <c r="I155" s="2" t="s">
        <v>90</v>
      </c>
    </row>
    <row r="156" spans="1:9" ht="15">
      <c r="A156" s="18" t="s">
        <v>454</v>
      </c>
      <c r="B156" s="19">
        <f>'05_客户与同业原始数据'!F29</f>
        <v>77254.009999999995</v>
      </c>
      <c r="C156" s="74">
        <f>'05_客户与同业原始数据'!F30/'05_客户与同业原始数据'!F29</f>
        <v>2.1995871800052837</v>
      </c>
      <c r="D156" s="20">
        <f>'05_客户与同业原始数据'!G29</f>
        <v>0.44440000000000002</v>
      </c>
      <c r="E156" s="19">
        <f>('05_客户与同业原始数据'!G29-'05_客户与同业原始数据'!G30)*100</f>
        <v>-16.000000000000004</v>
      </c>
      <c r="F156" s="20">
        <f>('05_客户与同业原始数据'!F29/'05_客户与同业原始数据'!B29)^(1/2)-1</f>
        <v>0.46146238556225816</v>
      </c>
      <c r="G156" s="61" t="s">
        <v>147</v>
      </c>
      <c r="H156" s="61" t="s">
        <v>976</v>
      </c>
      <c r="I156" s="18" t="s">
        <v>90</v>
      </c>
    </row>
    <row r="157" spans="1:9" ht="60">
      <c r="A157" s="45" t="s">
        <v>455</v>
      </c>
      <c r="B157" s="59">
        <f>'05_客户与同业原始数据'!F30</f>
        <v>169926.93</v>
      </c>
      <c r="C157" s="66">
        <v>1</v>
      </c>
      <c r="D157" s="47">
        <f>'05_客户与同业原始数据'!G30</f>
        <v>0.60440000000000005</v>
      </c>
      <c r="E157" s="59">
        <v>0</v>
      </c>
      <c r="F157" s="47">
        <f>('05_客户与同业原始数据'!F30/'05_客户与同业原始数据'!B30)^(1/2)-1</f>
        <v>2.2677518569952686</v>
      </c>
      <c r="G157" s="48" t="s">
        <v>979</v>
      </c>
      <c r="H157" s="48" t="s">
        <v>980</v>
      </c>
      <c r="I157" s="45" t="s">
        <v>90</v>
      </c>
    </row>
    <row r="158" spans="1:9" ht="75">
      <c r="A158" s="15" t="s">
        <v>981</v>
      </c>
      <c r="B158" s="68" t="s">
        <v>734</v>
      </c>
      <c r="C158" s="69">
        <f>'02_发行上市原始数据'!B41</f>
        <v>35.89</v>
      </c>
      <c r="D158" s="69">
        <f>'02_发行上市原始数据'!B48</f>
        <v>19.739999999999998</v>
      </c>
      <c r="E158" s="17">
        <f>('02_发行上市原始数据'!B41/'02_发行上市原始数据'!B48-1)*100</f>
        <v>81.813576494427579</v>
      </c>
      <c r="F158" s="15" t="s">
        <v>147</v>
      </c>
      <c r="G158" s="53" t="s">
        <v>982</v>
      </c>
      <c r="H158" s="53" t="s">
        <v>983</v>
      </c>
      <c r="I158" s="15" t="s">
        <v>98</v>
      </c>
    </row>
    <row r="159" spans="1:9" ht="39" customHeight="1">
      <c r="A159" s="87" t="s">
        <v>984</v>
      </c>
      <c r="B159" s="83"/>
      <c r="C159" s="83"/>
      <c r="D159" s="83"/>
      <c r="E159" s="83"/>
      <c r="F159" s="83"/>
      <c r="G159" s="83"/>
      <c r="H159" s="83"/>
      <c r="I159" s="83"/>
    </row>
    <row r="161" spans="1:9" ht="20" customHeight="1">
      <c r="A161" s="84" t="s">
        <v>985</v>
      </c>
      <c r="B161" s="83"/>
      <c r="C161" s="83"/>
      <c r="D161" s="83"/>
      <c r="E161" s="83"/>
      <c r="F161" s="83"/>
      <c r="G161" s="83"/>
      <c r="H161" s="83"/>
      <c r="I161" s="83"/>
    </row>
    <row r="162" spans="1:9" ht="30" customHeight="1">
      <c r="A162" s="4" t="s">
        <v>607</v>
      </c>
      <c r="B162" s="4" t="s">
        <v>250</v>
      </c>
      <c r="C162" s="4" t="s">
        <v>986</v>
      </c>
      <c r="D162" s="4" t="s">
        <v>987</v>
      </c>
      <c r="E162" s="4" t="s">
        <v>988</v>
      </c>
      <c r="F162" s="4" t="s">
        <v>608</v>
      </c>
      <c r="G162" s="4" t="s">
        <v>157</v>
      </c>
      <c r="H162" s="4" t="s">
        <v>609</v>
      </c>
      <c r="I162" s="4" t="s">
        <v>888</v>
      </c>
    </row>
    <row r="163" spans="1:9" ht="60">
      <c r="A163" s="2" t="s">
        <v>989</v>
      </c>
      <c r="B163" s="43" t="s">
        <v>300</v>
      </c>
      <c r="C163" s="28">
        <f>'06_股权与募投原始数据'!D3</f>
        <v>0.23821600000000001</v>
      </c>
      <c r="D163" s="28">
        <f>'06_股权与募投原始数据'!F3</f>
        <v>0.214395</v>
      </c>
      <c r="E163" s="7">
        <f>(D163-C163)*100</f>
        <v>-2.3821000000000008</v>
      </c>
      <c r="F163" s="2" t="s">
        <v>160</v>
      </c>
      <c r="G163" s="2" t="s">
        <v>90</v>
      </c>
      <c r="H163" s="1" t="s">
        <v>990</v>
      </c>
      <c r="I163" s="1" t="s">
        <v>991</v>
      </c>
    </row>
    <row r="164" spans="1:9" ht="105">
      <c r="A164" s="15" t="s">
        <v>992</v>
      </c>
      <c r="B164" s="50" t="s">
        <v>300</v>
      </c>
      <c r="C164" s="75">
        <f>'06_股权与募投原始数据'!D4</f>
        <v>0.109414</v>
      </c>
      <c r="D164" s="75">
        <f>'06_股权与募投原始数据'!F4</f>
        <v>9.8472000000000004E-2</v>
      </c>
      <c r="E164" s="17">
        <f>(D164-C164)*100</f>
        <v>-1.0941999999999994</v>
      </c>
      <c r="F164" s="15" t="s">
        <v>160</v>
      </c>
      <c r="G164" s="15" t="s">
        <v>90</v>
      </c>
      <c r="H164" s="53" t="s">
        <v>990</v>
      </c>
      <c r="I164" s="53" t="s">
        <v>993</v>
      </c>
    </row>
    <row r="165" spans="1:9" ht="15">
      <c r="A165" s="2" t="s">
        <v>994</v>
      </c>
      <c r="B165" s="43" t="s">
        <v>300</v>
      </c>
      <c r="C165" s="28">
        <f>'06_股权与募投原始数据'!D5</f>
        <v>7.6114000000000001E-2</v>
      </c>
      <c r="D165" s="28">
        <f>'06_股权与募投原始数据'!F5</f>
        <v>6.8501999999999993E-2</v>
      </c>
      <c r="E165" s="7">
        <f>(D165-C165)*100</f>
        <v>-0.76120000000000076</v>
      </c>
      <c r="F165" s="2" t="s">
        <v>160</v>
      </c>
      <c r="G165" s="2" t="s">
        <v>90</v>
      </c>
      <c r="H165" s="1" t="s">
        <v>990</v>
      </c>
      <c r="I165" s="1" t="s">
        <v>995</v>
      </c>
    </row>
    <row r="166" spans="1:9" ht="15">
      <c r="A166" s="2" t="s">
        <v>996</v>
      </c>
      <c r="B166" s="43" t="s">
        <v>300</v>
      </c>
      <c r="C166" s="28">
        <f>'06_股权与募投原始数据'!D6</f>
        <v>6.2100000000000002E-2</v>
      </c>
      <c r="D166" s="28">
        <f>'06_股权与募投原始数据'!F6</f>
        <v>5.5890000000000002E-2</v>
      </c>
      <c r="E166" s="7">
        <f>(D166-C166)*100</f>
        <v>-0.621</v>
      </c>
      <c r="F166" s="2" t="s">
        <v>160</v>
      </c>
      <c r="G166" s="2" t="s">
        <v>90</v>
      </c>
      <c r="H166" s="1" t="s">
        <v>990</v>
      </c>
      <c r="I166" s="1" t="s">
        <v>997</v>
      </c>
    </row>
    <row r="167" spans="1:9" ht="45">
      <c r="A167" s="2" t="s">
        <v>998</v>
      </c>
      <c r="B167" s="43" t="s">
        <v>300</v>
      </c>
      <c r="C167" s="76" t="s">
        <v>147</v>
      </c>
      <c r="D167" s="28">
        <f>'06_股权与募投原始数据'!F49</f>
        <v>0.1</v>
      </c>
      <c r="E167" s="43" t="s">
        <v>147</v>
      </c>
      <c r="F167" s="2" t="s">
        <v>160</v>
      </c>
      <c r="G167" s="2" t="s">
        <v>90</v>
      </c>
      <c r="H167" s="1" t="s">
        <v>999</v>
      </c>
      <c r="I167" s="1" t="s">
        <v>1000</v>
      </c>
    </row>
    <row r="168" spans="1:9" ht="30">
      <c r="A168" s="2" t="s">
        <v>1001</v>
      </c>
      <c r="B168" s="43" t="s">
        <v>1002</v>
      </c>
      <c r="C168" s="27">
        <f>'06_股权与募投原始数据'!C50</f>
        <v>36401.7906</v>
      </c>
      <c r="D168" s="27">
        <f>'06_股权与募投原始数据'!E50</f>
        <v>40446.434000000001</v>
      </c>
      <c r="E168" s="27">
        <f>'06_股权与募投原始数据'!E50-'06_股权与募投原始数据'!C50</f>
        <v>4044.6434000000008</v>
      </c>
      <c r="F168" s="2" t="s">
        <v>160</v>
      </c>
      <c r="G168" s="2" t="s">
        <v>5</v>
      </c>
      <c r="H168" s="1" t="s">
        <v>1003</v>
      </c>
      <c r="I168" s="1" t="s">
        <v>1004</v>
      </c>
    </row>
    <row r="169" spans="1:9" ht="15">
      <c r="A169" s="2" t="s">
        <v>1005</v>
      </c>
      <c r="B169" s="43" t="s">
        <v>300</v>
      </c>
      <c r="C169" s="2" t="s">
        <v>147</v>
      </c>
      <c r="D169" s="9">
        <f>'06_股权与募投原始数据'!E76</f>
        <v>0.2</v>
      </c>
      <c r="E169" s="2" t="s">
        <v>147</v>
      </c>
      <c r="F169" s="2" t="s">
        <v>160</v>
      </c>
      <c r="G169" s="2" t="s">
        <v>98</v>
      </c>
      <c r="H169" s="1" t="s">
        <v>1006</v>
      </c>
      <c r="I169" s="1" t="s">
        <v>1007</v>
      </c>
    </row>
    <row r="170" spans="1:9" ht="30">
      <c r="A170" s="2" t="s">
        <v>1008</v>
      </c>
      <c r="B170" s="77" t="s">
        <v>959</v>
      </c>
      <c r="C170" s="2" t="s">
        <v>147</v>
      </c>
      <c r="D170" s="8">
        <f>'06_股权与募投原始数据'!D74+'06_股权与募投原始数据'!D75</f>
        <v>1800397</v>
      </c>
      <c r="E170" s="2" t="s">
        <v>147</v>
      </c>
      <c r="F170" s="2" t="s">
        <v>160</v>
      </c>
      <c r="G170" s="2" t="s">
        <v>98</v>
      </c>
      <c r="H170" s="1" t="s">
        <v>1009</v>
      </c>
      <c r="I170" s="1" t="s">
        <v>1010</v>
      </c>
    </row>
    <row r="171" spans="1:9" ht="75">
      <c r="A171" s="2" t="s">
        <v>1011</v>
      </c>
      <c r="B171" s="43" t="s">
        <v>300</v>
      </c>
      <c r="C171" s="2" t="s">
        <v>147</v>
      </c>
      <c r="D171" s="9">
        <f>('06_股权与募投原始数据'!D74+'06_股权与募投原始数据'!D75)/'02_发行上市原始数据'!B6</f>
        <v>4.4513120736428831E-2</v>
      </c>
      <c r="E171" s="2" t="s">
        <v>147</v>
      </c>
      <c r="F171" s="2" t="s">
        <v>662</v>
      </c>
      <c r="G171" s="2" t="s">
        <v>98</v>
      </c>
      <c r="H171" s="1" t="s">
        <v>1012</v>
      </c>
      <c r="I171" s="1" t="s">
        <v>1013</v>
      </c>
    </row>
    <row r="172" spans="1:9" ht="15">
      <c r="A172" s="2" t="s">
        <v>1014</v>
      </c>
      <c r="B172" s="77" t="s">
        <v>1015</v>
      </c>
      <c r="C172" s="2" t="s">
        <v>147</v>
      </c>
      <c r="D172" s="8">
        <f>'06_股权与募投原始数据'!F74+'06_股权与募投原始数据'!F75</f>
        <v>271499867.60000002</v>
      </c>
      <c r="E172" s="2" t="s">
        <v>147</v>
      </c>
      <c r="F172" s="2" t="s">
        <v>160</v>
      </c>
      <c r="G172" s="2" t="s">
        <v>98</v>
      </c>
      <c r="H172" s="1" t="s">
        <v>1016</v>
      </c>
      <c r="I172" s="1" t="s">
        <v>1017</v>
      </c>
    </row>
    <row r="173" spans="1:9" ht="15">
      <c r="A173" s="2" t="s">
        <v>1018</v>
      </c>
      <c r="B173" s="77" t="s">
        <v>1015</v>
      </c>
      <c r="C173" s="2" t="s">
        <v>147</v>
      </c>
      <c r="D173" s="8">
        <f>'06_股权与募投原始数据'!F73</f>
        <v>121986342.40000001</v>
      </c>
      <c r="E173" s="2" t="s">
        <v>147</v>
      </c>
      <c r="F173" s="2" t="s">
        <v>160</v>
      </c>
      <c r="G173" s="2" t="s">
        <v>98</v>
      </c>
      <c r="H173" s="1" t="s">
        <v>1019</v>
      </c>
      <c r="I173" s="1" t="s">
        <v>1020</v>
      </c>
    </row>
    <row r="174" spans="1:9" ht="30">
      <c r="A174" s="2" t="s">
        <v>1021</v>
      </c>
      <c r="B174" s="77" t="s">
        <v>1015</v>
      </c>
      <c r="C174" s="2" t="s">
        <v>147</v>
      </c>
      <c r="D174" s="8">
        <f>'06_股权与募投原始数据'!F68</f>
        <v>140756569.19999999</v>
      </c>
      <c r="E174" s="2" t="s">
        <v>147</v>
      </c>
      <c r="F174" s="2" t="s">
        <v>160</v>
      </c>
      <c r="G174" s="2" t="s">
        <v>98</v>
      </c>
      <c r="H174" s="1" t="s">
        <v>1022</v>
      </c>
      <c r="I174" s="1" t="s">
        <v>1023</v>
      </c>
    </row>
    <row r="175" spans="1:9" ht="15">
      <c r="A175" s="2" t="s">
        <v>1024</v>
      </c>
      <c r="B175" s="77" t="s">
        <v>1015</v>
      </c>
      <c r="C175" s="2" t="s">
        <v>147</v>
      </c>
      <c r="D175" s="8">
        <f>'06_股权与募投原始数据'!F64</f>
        <v>140757021.59999999</v>
      </c>
      <c r="E175" s="2" t="s">
        <v>147</v>
      </c>
      <c r="F175" s="2" t="s">
        <v>160</v>
      </c>
      <c r="G175" s="2" t="s">
        <v>98</v>
      </c>
      <c r="H175" s="1" t="s">
        <v>1025</v>
      </c>
      <c r="I175" s="1" t="s">
        <v>1026</v>
      </c>
    </row>
    <row r="176" spans="1:9" ht="45">
      <c r="A176" s="45" t="s">
        <v>1027</v>
      </c>
      <c r="B176" s="46" t="s">
        <v>300</v>
      </c>
      <c r="C176" s="78" t="s">
        <v>1028</v>
      </c>
      <c r="D176" s="78" t="s">
        <v>1029</v>
      </c>
      <c r="E176" s="46" t="s">
        <v>1030</v>
      </c>
      <c r="F176" s="45" t="s">
        <v>160</v>
      </c>
      <c r="G176" s="45" t="s">
        <v>90</v>
      </c>
      <c r="H176" s="48" t="s">
        <v>1031</v>
      </c>
      <c r="I176" s="48" t="s">
        <v>1032</v>
      </c>
    </row>
    <row r="177" spans="1:9" ht="15">
      <c r="A177" s="2" t="s">
        <v>1033</v>
      </c>
      <c r="B177" s="43" t="s">
        <v>300</v>
      </c>
      <c r="C177" s="76" t="s">
        <v>1034</v>
      </c>
      <c r="D177" s="76" t="s">
        <v>147</v>
      </c>
      <c r="E177" s="43" t="s">
        <v>147</v>
      </c>
      <c r="F177" s="2" t="s">
        <v>160</v>
      </c>
      <c r="G177" s="2" t="s">
        <v>90</v>
      </c>
      <c r="H177" s="1" t="s">
        <v>1035</v>
      </c>
      <c r="I177" s="1" t="s">
        <v>1036</v>
      </c>
    </row>
    <row r="178" spans="1:9" ht="39" customHeight="1">
      <c r="A178" s="87" t="s">
        <v>1037</v>
      </c>
      <c r="B178" s="83"/>
      <c r="C178" s="83"/>
      <c r="D178" s="83"/>
      <c r="E178" s="83"/>
      <c r="F178" s="83"/>
      <c r="G178" s="83"/>
      <c r="H178" s="83"/>
      <c r="I178" s="83"/>
    </row>
  </sheetData>
  <mergeCells count="23">
    <mergeCell ref="A178:I178"/>
    <mergeCell ref="A1:I1"/>
    <mergeCell ref="A45:I45"/>
    <mergeCell ref="A88:I88"/>
    <mergeCell ref="A124:I124"/>
    <mergeCell ref="A161:I161"/>
    <mergeCell ref="A58:I58"/>
    <mergeCell ref="A114:I114"/>
    <mergeCell ref="A15:I15"/>
    <mergeCell ref="A148:I148"/>
    <mergeCell ref="A73:I73"/>
    <mergeCell ref="A116:I116"/>
    <mergeCell ref="A17:I17"/>
    <mergeCell ref="A150:I150"/>
    <mergeCell ref="A126:I126"/>
    <mergeCell ref="A159:I159"/>
    <mergeCell ref="A38:I38"/>
    <mergeCell ref="A75:I75"/>
    <mergeCell ref="A56:I56"/>
    <mergeCell ref="A3:I3"/>
    <mergeCell ref="A86:I86"/>
    <mergeCell ref="A2:I2"/>
    <mergeCell ref="A47:I47"/>
  </mergeCells>
  <phoneticPr fontId="6"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5A11"/>
  </sheetPr>
  <dimension ref="A1:H465"/>
  <sheetViews>
    <sheetView showGridLines="0" workbookViewId="0">
      <selection sqref="A1:H1"/>
    </sheetView>
  </sheetViews>
  <sheetFormatPr baseColWidth="10" defaultColWidth="8.83203125" defaultRowHeight="14"/>
  <cols>
    <col min="1" max="1" width="24" customWidth="1"/>
    <col min="2" max="7" width="20" customWidth="1"/>
    <col min="8" max="8" width="44" customWidth="1"/>
  </cols>
  <sheetData>
    <row r="1" spans="1:8" ht="26" customHeight="1">
      <c r="A1" s="82" t="s">
        <v>1038</v>
      </c>
      <c r="B1" s="83"/>
      <c r="C1" s="83"/>
      <c r="D1" s="83"/>
      <c r="E1" s="83"/>
      <c r="F1" s="83"/>
      <c r="G1" s="83"/>
      <c r="H1" s="83"/>
    </row>
    <row r="2" spans="1:8" ht="26" customHeight="1">
      <c r="A2" s="87" t="s">
        <v>1039</v>
      </c>
      <c r="B2" s="83"/>
      <c r="C2" s="83"/>
      <c r="D2" s="83"/>
      <c r="E2" s="83"/>
      <c r="F2" s="83"/>
      <c r="G2" s="83"/>
      <c r="H2" s="83"/>
    </row>
    <row r="3" spans="1:8" ht="20" customHeight="1">
      <c r="A3" s="84" t="s">
        <v>1040</v>
      </c>
      <c r="B3" s="83"/>
      <c r="C3" s="83"/>
      <c r="D3" s="83"/>
      <c r="E3" s="83"/>
      <c r="F3" s="83"/>
      <c r="G3" s="83"/>
      <c r="H3" s="83"/>
    </row>
    <row r="4" spans="1:8" ht="30" customHeight="1">
      <c r="A4" s="4" t="s">
        <v>1041</v>
      </c>
      <c r="B4" s="4" t="s">
        <v>255</v>
      </c>
      <c r="C4" s="4" t="s">
        <v>1042</v>
      </c>
      <c r="D4" s="4" t="s">
        <v>1043</v>
      </c>
      <c r="E4" s="4" t="s">
        <v>1044</v>
      </c>
      <c r="F4" s="4" t="s">
        <v>1045</v>
      </c>
      <c r="G4" s="4" t="s">
        <v>1046</v>
      </c>
      <c r="H4" s="4" t="s">
        <v>1047</v>
      </c>
    </row>
    <row r="5" spans="1:8" ht="15">
      <c r="A5" s="2" t="s">
        <v>251</v>
      </c>
      <c r="B5" s="7">
        <f>'03_财务原始数据'!C5</f>
        <v>15913.44</v>
      </c>
      <c r="C5" s="44" t="s">
        <v>147</v>
      </c>
      <c r="D5" s="7">
        <f>'03_财务原始数据'!C31</f>
        <v>-1114.51</v>
      </c>
      <c r="E5" s="7">
        <f>'03_财务原始数据'!C32</f>
        <v>-1801.91</v>
      </c>
      <c r="F5" s="7">
        <f>'03_财务原始数据'!C31-'03_财务原始数据'!C32</f>
        <v>687.40000000000009</v>
      </c>
      <c r="G5" s="7">
        <f>'03_财务原始数据'!C37</f>
        <v>494.25</v>
      </c>
      <c r="H5" s="1" t="s">
        <v>1048</v>
      </c>
    </row>
    <row r="6" spans="1:8" ht="15">
      <c r="A6" s="2" t="s">
        <v>252</v>
      </c>
      <c r="B6" s="7">
        <f>'03_财务原始数据'!D5</f>
        <v>78554.14</v>
      </c>
      <c r="C6" s="9">
        <f>'03_财务原始数据'!D5/'03_财务原始数据'!C5-1</f>
        <v>3.936339345861108</v>
      </c>
      <c r="D6" s="7">
        <f>'03_财务原始数据'!D31</f>
        <v>9547.4699999999993</v>
      </c>
      <c r="E6" s="7">
        <f>'03_财务原始数据'!D32</f>
        <v>7847.65</v>
      </c>
      <c r="F6" s="7">
        <f>'03_财务原始数据'!D31-'03_财务原始数据'!D32</f>
        <v>1699.8199999999997</v>
      </c>
      <c r="G6" s="7">
        <f>'03_财务原始数据'!D37</f>
        <v>19239.13</v>
      </c>
      <c r="H6" s="1" t="s">
        <v>1048</v>
      </c>
    </row>
    <row r="7" spans="1:8" ht="15">
      <c r="A7" s="2" t="s">
        <v>253</v>
      </c>
      <c r="B7" s="7">
        <f>'03_财务原始数据'!E5</f>
        <v>169926.93</v>
      </c>
      <c r="C7" s="9">
        <f>'03_财务原始数据'!E5/'03_财务原始数据'!D5-1</f>
        <v>1.1631823605986904</v>
      </c>
      <c r="D7" s="7">
        <f>'03_财务原始数据'!E31</f>
        <v>27821.05</v>
      </c>
      <c r="E7" s="7">
        <f>'03_财务原始数据'!E32</f>
        <v>59075.28</v>
      </c>
      <c r="F7" s="7">
        <f>'03_财务原始数据'!E31-'03_财务原始数据'!E32</f>
        <v>-31254.23</v>
      </c>
      <c r="G7" s="7">
        <f>'03_财务原始数据'!E37</f>
        <v>66998.179999999993</v>
      </c>
      <c r="H7" s="1" t="s">
        <v>1048</v>
      </c>
    </row>
    <row r="9" spans="1:8" ht="20" customHeight="1">
      <c r="A9" s="84" t="s">
        <v>1049</v>
      </c>
      <c r="B9" s="83"/>
      <c r="C9" s="83"/>
      <c r="D9" s="83"/>
      <c r="E9" s="83"/>
      <c r="F9" s="83"/>
      <c r="G9" s="83"/>
      <c r="H9" s="83"/>
    </row>
    <row r="10" spans="1:8" ht="30" customHeight="1">
      <c r="A10" s="4" t="s">
        <v>1041</v>
      </c>
      <c r="B10" s="4" t="s">
        <v>303</v>
      </c>
      <c r="C10" s="4" t="s">
        <v>654</v>
      </c>
      <c r="D10" s="4" t="s">
        <v>657</v>
      </c>
      <c r="E10" s="4" t="s">
        <v>659</v>
      </c>
      <c r="F10" s="4" t="s">
        <v>1050</v>
      </c>
      <c r="G10" s="4" t="s">
        <v>665</v>
      </c>
      <c r="H10" s="4" t="s">
        <v>1047</v>
      </c>
    </row>
    <row r="11" spans="1:8" ht="30">
      <c r="A11" s="2" t="s">
        <v>251</v>
      </c>
      <c r="B11" s="9">
        <f>'03_财务原始数据'!C51</f>
        <v>0.44750000000000001</v>
      </c>
      <c r="C11" s="9">
        <f>'03_财务原始数据'!C32/'03_财务原始数据'!C5</f>
        <v>-0.11323195990307564</v>
      </c>
      <c r="D11" s="9">
        <f>'03_财务原始数据'!C13/'03_财务原始数据'!C5</f>
        <v>0.23702166219246121</v>
      </c>
      <c r="E11" s="9">
        <f>'03_财务原始数据'!C14/'03_财务原始数据'!C5</f>
        <v>8.3753104294231787E-2</v>
      </c>
      <c r="F11" s="9">
        <f>('03_财务原始数据'!C14-IF('03_财务原始数据'!C34="",0,'03_财务原始数据'!C34))/'03_财务原始数据'!C5</f>
        <v>8.3753104294231787E-2</v>
      </c>
      <c r="G11" s="9">
        <f>'03_财务原始数据'!C15/'03_财务原始数据'!C5</f>
        <v>0.31389693240430733</v>
      </c>
      <c r="H11" s="1" t="s">
        <v>1051</v>
      </c>
    </row>
    <row r="12" spans="1:8" ht="30">
      <c r="A12" s="2" t="s">
        <v>252</v>
      </c>
      <c r="B12" s="9">
        <f>'03_财务原始数据'!D51</f>
        <v>0.57220000000000004</v>
      </c>
      <c r="C12" s="9">
        <f>'03_财务原始数据'!D32/'03_财务原始数据'!D5</f>
        <v>9.9901163706966931E-2</v>
      </c>
      <c r="D12" s="9">
        <f>'03_财务原始数据'!D13/'03_财务原始数据'!D5</f>
        <v>7.5309207127721087E-2</v>
      </c>
      <c r="E12" s="9">
        <f>'03_财务原始数据'!D14/'03_财务原始数据'!D5</f>
        <v>3.1831804154434123E-2</v>
      </c>
      <c r="F12" s="9">
        <f>('03_财务原始数据'!D14-IF('03_财务原始数据'!D34="",0,'03_财务原始数据'!D34))/'03_财务原始数据'!D5</f>
        <v>3.1831804154434123E-2</v>
      </c>
      <c r="G12" s="9">
        <f>'03_财务原始数据'!D15/'03_财务原始数据'!D5</f>
        <v>8.9132157770424325E-2</v>
      </c>
      <c r="H12" s="1" t="s">
        <v>1051</v>
      </c>
    </row>
    <row r="13" spans="1:8" ht="30">
      <c r="A13" s="2" t="s">
        <v>253</v>
      </c>
      <c r="B13" s="9">
        <f>'03_财务原始数据'!E51</f>
        <v>0.60440000000000005</v>
      </c>
      <c r="C13" s="9">
        <f>'03_财务原始数据'!E32/'03_财务原始数据'!E5</f>
        <v>0.34765107567117232</v>
      </c>
      <c r="D13" s="9">
        <f>'03_财务原始数据'!E13/'03_财务原始数据'!E5</f>
        <v>8.3096422680030771E-2</v>
      </c>
      <c r="E13" s="9">
        <f>'03_财务原始数据'!E14/'03_财务原始数据'!E5</f>
        <v>0.23515760568380775</v>
      </c>
      <c r="F13" s="9">
        <f>('03_财务原始数据'!E14-IF('03_财务原始数据'!E34="",0,'03_财务原始数据'!E34))/'03_财务原始数据'!E5</f>
        <v>2.9736663870759024E-2</v>
      </c>
      <c r="G13" s="9">
        <f>'03_财务原始数据'!E15/'03_财务原始数据'!E5</f>
        <v>8.531055083499714E-2</v>
      </c>
      <c r="H13" s="1" t="s">
        <v>1051</v>
      </c>
    </row>
    <row r="15" spans="1:8" ht="20" customHeight="1">
      <c r="A15" s="84" t="s">
        <v>1052</v>
      </c>
      <c r="B15" s="83"/>
      <c r="C15" s="83"/>
      <c r="D15" s="83"/>
      <c r="E15" s="83"/>
      <c r="F15" s="83"/>
      <c r="G15" s="83"/>
      <c r="H15" s="83"/>
    </row>
    <row r="16" spans="1:8" ht="30" customHeight="1">
      <c r="A16" s="4" t="s">
        <v>361</v>
      </c>
      <c r="B16" s="4" t="s">
        <v>362</v>
      </c>
      <c r="C16" s="4" t="s">
        <v>364</v>
      </c>
      <c r="D16" s="4" t="s">
        <v>366</v>
      </c>
      <c r="E16" s="4" t="s">
        <v>692</v>
      </c>
      <c r="F16" s="4" t="s">
        <v>1053</v>
      </c>
      <c r="G16" s="4"/>
      <c r="H16" s="4" t="s">
        <v>1047</v>
      </c>
    </row>
    <row r="17" spans="1:8" ht="15">
      <c r="A17" s="2" t="s">
        <v>368</v>
      </c>
      <c r="B17" s="7">
        <f>'04_业务结构原始数据'!B3</f>
        <v>11938.09</v>
      </c>
      <c r="C17" s="7">
        <f>'04_业务结构原始数据'!D3</f>
        <v>23054.37</v>
      </c>
      <c r="D17" s="7">
        <f>'04_业务结构原始数据'!F3</f>
        <v>69762.559999999998</v>
      </c>
      <c r="E17" s="9">
        <f>'04_业务结构原始数据'!F3/'04_业务结构原始数据'!F7</f>
        <v>0.41621685056758473</v>
      </c>
      <c r="F17" s="65">
        <f>'04_业务结构原始数据'!F3/'04_业务结构原始数据'!B3-1</f>
        <v>4.8436952644853575</v>
      </c>
      <c r="G17" s="2"/>
      <c r="H17" s="1" t="s">
        <v>1054</v>
      </c>
    </row>
    <row r="18" spans="1:8" ht="15">
      <c r="A18" s="2" t="s">
        <v>369</v>
      </c>
      <c r="B18" s="7">
        <f>'04_业务结构原始数据'!B4</f>
        <v>296.70999999999998</v>
      </c>
      <c r="C18" s="7">
        <f>'04_业务结构原始数据'!D4</f>
        <v>10729.76</v>
      </c>
      <c r="D18" s="7">
        <f>'04_业务结构原始数据'!F4</f>
        <v>86783.19</v>
      </c>
      <c r="E18" s="9">
        <f>'04_业务结构原始数据'!F4/'04_业务结构原始数据'!F7</f>
        <v>0.51776520276790761</v>
      </c>
      <c r="F18" s="65">
        <f>'04_业务结构原始数据'!F4/'04_业务结构原始数据'!B4-1</f>
        <v>291.48488423039333</v>
      </c>
      <c r="G18" s="2"/>
      <c r="H18" s="1" t="s">
        <v>1054</v>
      </c>
    </row>
    <row r="19" spans="1:8" ht="15">
      <c r="A19" s="2" t="s">
        <v>370</v>
      </c>
      <c r="B19" s="7">
        <f>'04_业务结构原始数据'!B5</f>
        <v>2692.34</v>
      </c>
      <c r="C19" s="7">
        <f>'04_业务结构原始数据'!D5</f>
        <v>4453.82</v>
      </c>
      <c r="D19" s="7">
        <f>'04_业务结构原始数据'!F5</f>
        <v>10373.67</v>
      </c>
      <c r="E19" s="9">
        <f>'04_业务结构原始数据'!F5/'04_业务结构原始数据'!F7</f>
        <v>6.189131041388729E-2</v>
      </c>
      <c r="F19" s="65">
        <f>'04_业务结构原始数据'!F5/'04_业务结构原始数据'!B5-1</f>
        <v>2.8530311921971219</v>
      </c>
      <c r="G19" s="2"/>
      <c r="H19" s="1" t="s">
        <v>1054</v>
      </c>
    </row>
    <row r="20" spans="1:8" ht="15">
      <c r="A20" s="2" t="s">
        <v>371</v>
      </c>
      <c r="B20" s="7">
        <f>'04_业务结构原始数据'!B6</f>
        <v>826.51</v>
      </c>
      <c r="C20" s="7">
        <f>'04_业务结构原始数据'!D6</f>
        <v>529.33000000000004</v>
      </c>
      <c r="D20" s="7">
        <f>'04_业务结构原始数据'!F6</f>
        <v>691.67</v>
      </c>
      <c r="E20" s="9">
        <f>'04_业务结构原始数据'!F6/'04_业务结构原始数据'!F7</f>
        <v>4.1266362506204093E-3</v>
      </c>
      <c r="F20" s="65">
        <f>'04_业务结构原始数据'!F6/'04_业务结构原始数据'!B6-1</f>
        <v>-0.16314382161135377</v>
      </c>
      <c r="G20" s="2"/>
      <c r="H20" s="1" t="s">
        <v>1054</v>
      </c>
    </row>
    <row r="22" spans="1:8" ht="20" customHeight="1">
      <c r="A22" s="84" t="s">
        <v>1055</v>
      </c>
      <c r="B22" s="83"/>
      <c r="C22" s="83"/>
      <c r="D22" s="83"/>
      <c r="E22" s="83"/>
      <c r="F22" s="83"/>
      <c r="G22" s="83"/>
      <c r="H22" s="83"/>
    </row>
    <row r="23" spans="1:8" ht="30" customHeight="1">
      <c r="A23" s="4" t="s">
        <v>361</v>
      </c>
      <c r="B23" s="4" t="s">
        <v>422</v>
      </c>
      <c r="C23" s="4" t="s">
        <v>423</v>
      </c>
      <c r="D23" s="4" t="s">
        <v>424</v>
      </c>
      <c r="E23" s="4" t="s">
        <v>1056</v>
      </c>
      <c r="F23" s="4"/>
      <c r="G23" s="4"/>
      <c r="H23" s="4" t="s">
        <v>1047</v>
      </c>
    </row>
    <row r="24" spans="1:8" ht="30">
      <c r="A24" s="2" t="s">
        <v>368</v>
      </c>
      <c r="B24" s="9">
        <f>('04_业务结构原始数据'!B3-'04_业务结构原始数据'!B11)/'04_业务结构原始数据'!B3</f>
        <v>0.43710677336156789</v>
      </c>
      <c r="C24" s="9">
        <f>('04_业务结构原始数据'!D3-'04_业务结构原始数据'!D11)/'04_业务结构原始数据'!D3</f>
        <v>0.51646954568699988</v>
      </c>
      <c r="D24" s="9">
        <f>('04_业务结构原始数据'!F3-'04_业务结构原始数据'!F11)/'04_业务结构原始数据'!F3</f>
        <v>0.567197648710139</v>
      </c>
      <c r="E24" s="7">
        <f>(('04_业务结构原始数据'!F3-'04_业务结构原始数据'!F11)/'04_业务结构原始数据'!F3-('04_业务结构原始数据'!B3-'04_业务结构原始数据'!B11)/'04_业务结构原始数据'!B3)*100</f>
        <v>13.009087534857111</v>
      </c>
      <c r="F24" s="2"/>
      <c r="G24" s="2"/>
      <c r="H24" s="1" t="s">
        <v>1057</v>
      </c>
    </row>
    <row r="25" spans="1:8" ht="30">
      <c r="A25" s="2" t="s">
        <v>369</v>
      </c>
      <c r="B25" s="9">
        <f>('04_业务结构原始数据'!B4-'04_业务结构原始数据'!B12)/'04_业务结构原始数据'!B4</f>
        <v>0.87668093424555971</v>
      </c>
      <c r="C25" s="9">
        <f>('04_业务结构原始数据'!D4-'04_业务结构原始数据'!D12)/'04_业务结构原始数据'!D4</f>
        <v>0.69255789505077459</v>
      </c>
      <c r="D25" s="9">
        <f>('04_业务结构原始数据'!F4-'04_业务结构原始数据'!F12)/'04_业务结构原始数据'!F4</f>
        <v>0.6317652070637183</v>
      </c>
      <c r="E25" s="7">
        <f>(('04_业务结构原始数据'!F4-'04_业务结构原始数据'!F12)/'04_业务结构原始数据'!F4-('04_业务结构原始数据'!B4-'04_业务结构原始数据'!B12)/'04_业务结构原始数据'!B4)*100</f>
        <v>-24.491572718184141</v>
      </c>
      <c r="F25" s="2"/>
      <c r="G25" s="2"/>
      <c r="H25" s="1" t="s">
        <v>1057</v>
      </c>
    </row>
    <row r="26" spans="1:8" ht="30">
      <c r="A26" s="2" t="s">
        <v>370</v>
      </c>
      <c r="B26" s="9">
        <f>('04_业务结构原始数据'!B5-'04_业务结构原始数据'!B13)/'04_业务结构原始数据'!B5</f>
        <v>0.48764271971593487</v>
      </c>
      <c r="C26" s="9">
        <f>('04_业务结构原始数据'!D5-'04_业务结构原始数据'!D13)/'04_业务结构原始数据'!D5</f>
        <v>0.5693517025834004</v>
      </c>
      <c r="D26" s="9">
        <f>('04_业务结构原始数据'!F5-'04_业务结构原始数据'!F13)/'04_业务结构原始数据'!F5</f>
        <v>0.59356139148440235</v>
      </c>
      <c r="E26" s="7">
        <f>(('04_业务结构原始数据'!F5-'04_业务结构原始数据'!F13)/'04_业务结构原始数据'!F5-('04_业务结构原始数据'!B5-'04_业务结构原始数据'!B13)/'04_业务结构原始数据'!B5)*100</f>
        <v>10.591867176846748</v>
      </c>
      <c r="F26" s="2"/>
      <c r="G26" s="2"/>
      <c r="H26" s="1" t="s">
        <v>1057</v>
      </c>
    </row>
    <row r="28" spans="1:8" ht="20" customHeight="1">
      <c r="A28" s="84" t="s">
        <v>1058</v>
      </c>
      <c r="B28" s="83"/>
      <c r="C28" s="83"/>
      <c r="D28" s="83"/>
      <c r="E28" s="83"/>
      <c r="F28" s="83"/>
      <c r="G28" s="83"/>
      <c r="H28" s="83"/>
    </row>
    <row r="29" spans="1:8" ht="30" customHeight="1">
      <c r="A29" s="4" t="s">
        <v>1041</v>
      </c>
      <c r="B29" s="4" t="s">
        <v>1059</v>
      </c>
      <c r="C29" s="4" t="s">
        <v>1060</v>
      </c>
      <c r="D29" s="4" t="s">
        <v>1061</v>
      </c>
      <c r="E29" s="4" t="s">
        <v>1062</v>
      </c>
      <c r="F29" s="4"/>
      <c r="G29" s="4"/>
      <c r="H29" s="4" t="s">
        <v>1047</v>
      </c>
    </row>
    <row r="30" spans="1:8" ht="15">
      <c r="A30" s="2" t="s">
        <v>1063</v>
      </c>
      <c r="B30" s="8">
        <f>'04_业务结构原始数据'!C22</f>
        <v>5</v>
      </c>
      <c r="C30" s="7">
        <f>'04_业务结构原始数据'!C24/'04_业务结构原始数据'!C22</f>
        <v>59.341999999999999</v>
      </c>
      <c r="D30" s="8">
        <f>'04_业务结构原始数据'!C19</f>
        <v>3121</v>
      </c>
      <c r="E30" s="7">
        <f>'04_业务结构原始数据'!C21/'04_业务结构原始数据'!C19</f>
        <v>3.8250849086831145</v>
      </c>
      <c r="F30" s="2"/>
      <c r="G30" s="2"/>
      <c r="H30" s="1" t="s">
        <v>1064</v>
      </c>
    </row>
    <row r="31" spans="1:8" ht="15">
      <c r="A31" s="2" t="s">
        <v>1065</v>
      </c>
      <c r="B31" s="8">
        <f>'04_业务结构原始数据'!D22</f>
        <v>412</v>
      </c>
      <c r="C31" s="7">
        <f>'04_业务结构原始数据'!D24/'04_业务结构原始数据'!D22</f>
        <v>26.043106796116504</v>
      </c>
      <c r="D31" s="8">
        <f>'04_业务结构原始数据'!D19</f>
        <v>7136</v>
      </c>
      <c r="E31" s="7">
        <f>'04_业务结构原始数据'!D21/'04_业务结构原始数据'!D19</f>
        <v>3.2307132847533633</v>
      </c>
      <c r="F31" s="2"/>
      <c r="G31" s="2"/>
      <c r="H31" s="1" t="s">
        <v>1064</v>
      </c>
    </row>
    <row r="32" spans="1:8" ht="15">
      <c r="A32" s="2" t="s">
        <v>1066</v>
      </c>
      <c r="B32" s="8">
        <f>'04_业务结构原始数据'!F22</f>
        <v>5215</v>
      </c>
      <c r="C32" s="7">
        <f>'04_业务结构原始数据'!F24/'04_业务结构原始数据'!F22</f>
        <v>16.641071907957816</v>
      </c>
      <c r="D32" s="8">
        <f>'04_业务结构原始数据'!F19</f>
        <v>23037</v>
      </c>
      <c r="E32" s="7">
        <f>'04_业务结构原始数据'!F21/'04_业务结构原始数据'!F19</f>
        <v>3.0282831965967789</v>
      </c>
      <c r="F32" s="2"/>
      <c r="G32" s="2"/>
      <c r="H32" s="1" t="s">
        <v>1064</v>
      </c>
    </row>
    <row r="33" spans="1:8" ht="15" customHeight="1">
      <c r="A33" s="85" t="s">
        <v>1067</v>
      </c>
      <c r="B33" s="83"/>
      <c r="C33" s="83"/>
      <c r="D33" s="83"/>
      <c r="E33" s="83"/>
      <c r="F33" s="83"/>
      <c r="G33" s="83"/>
      <c r="H33" s="83"/>
    </row>
    <row r="35" spans="1:8" ht="20" customHeight="1">
      <c r="A35" s="84" t="s">
        <v>1068</v>
      </c>
      <c r="B35" s="83"/>
      <c r="C35" s="83"/>
      <c r="D35" s="83"/>
      <c r="E35" s="83"/>
      <c r="F35" s="83"/>
      <c r="G35" s="83"/>
      <c r="H35" s="83"/>
    </row>
    <row r="36" spans="1:8" ht="30" customHeight="1">
      <c r="A36" s="4" t="s">
        <v>1041</v>
      </c>
      <c r="B36" s="4" t="s">
        <v>396</v>
      </c>
      <c r="C36" s="4" t="s">
        <v>397</v>
      </c>
      <c r="D36" s="4" t="s">
        <v>1069</v>
      </c>
      <c r="E36" s="4"/>
      <c r="F36" s="4"/>
      <c r="G36" s="4"/>
      <c r="H36" s="4" t="s">
        <v>1047</v>
      </c>
    </row>
    <row r="37" spans="1:8" ht="15">
      <c r="A37" s="2" t="s">
        <v>1063</v>
      </c>
      <c r="B37" s="7">
        <f>'04_业务结构原始数据'!B29</f>
        <v>6989.41</v>
      </c>
      <c r="C37" s="7">
        <f>'04_业务结构原始数据'!B30</f>
        <v>8764.24</v>
      </c>
      <c r="D37" s="9">
        <f>'04_业务结构原始数据'!C30</f>
        <v>0.55630000000000002</v>
      </c>
      <c r="E37" s="2"/>
      <c r="F37" s="2"/>
      <c r="G37" s="2"/>
      <c r="H37" s="1" t="s">
        <v>1070</v>
      </c>
    </row>
    <row r="38" spans="1:8" ht="15">
      <c r="A38" s="2" t="s">
        <v>1065</v>
      </c>
      <c r="B38" s="7">
        <f>'04_业务结构原始数据'!D29</f>
        <v>17156.55</v>
      </c>
      <c r="C38" s="7">
        <f>'04_业务结构原始数据'!D30</f>
        <v>21610.74</v>
      </c>
      <c r="D38" s="9">
        <f>'04_业务结构原始数据'!E30</f>
        <v>0.55740000000000001</v>
      </c>
      <c r="E38" s="2"/>
      <c r="F38" s="2"/>
      <c r="G38" s="2"/>
      <c r="H38" s="1" t="s">
        <v>1070</v>
      </c>
    </row>
    <row r="39" spans="1:8" ht="15">
      <c r="A39" s="2" t="s">
        <v>1066</v>
      </c>
      <c r="B39" s="7">
        <f>'04_业务结构原始数据'!F29</f>
        <v>94445.56</v>
      </c>
      <c r="C39" s="7">
        <f>'04_业务结构原始数据'!F30</f>
        <v>73165.53</v>
      </c>
      <c r="D39" s="9">
        <f>'04_业务结构原始数据'!G30</f>
        <v>0.4365</v>
      </c>
      <c r="E39" s="2"/>
      <c r="F39" s="2"/>
      <c r="G39" s="2"/>
      <c r="H39" s="1" t="s">
        <v>1070</v>
      </c>
    </row>
    <row r="41" spans="1:8" ht="20" customHeight="1">
      <c r="A41" s="84" t="s">
        <v>1071</v>
      </c>
      <c r="B41" s="83"/>
      <c r="C41" s="83"/>
      <c r="D41" s="83"/>
      <c r="E41" s="83"/>
      <c r="F41" s="83"/>
      <c r="G41" s="83"/>
      <c r="H41" s="83"/>
    </row>
    <row r="42" spans="1:8" ht="30" customHeight="1">
      <c r="A42" s="4" t="s">
        <v>401</v>
      </c>
      <c r="B42" s="4" t="s">
        <v>362</v>
      </c>
      <c r="C42" s="4" t="s">
        <v>364</v>
      </c>
      <c r="D42" s="4" t="s">
        <v>366</v>
      </c>
      <c r="E42" s="4" t="s">
        <v>367</v>
      </c>
      <c r="F42" s="4"/>
      <c r="G42" s="4"/>
      <c r="H42" s="4" t="s">
        <v>1047</v>
      </c>
    </row>
    <row r="43" spans="1:8" ht="15">
      <c r="A43" s="2" t="s">
        <v>402</v>
      </c>
      <c r="B43" s="7">
        <f>'04_业务结构原始数据'!B36</f>
        <v>3093.17</v>
      </c>
      <c r="C43" s="7">
        <f>'04_业务结构原始数据'!D36</f>
        <v>6510.98</v>
      </c>
      <c r="D43" s="7">
        <f>'04_业务结构原始数据'!F36</f>
        <v>24815.919999999998</v>
      </c>
      <c r="E43" s="9">
        <f>'04_业务结构原始数据'!G36</f>
        <v>0.14810000000000001</v>
      </c>
      <c r="F43" s="2"/>
      <c r="G43" s="2"/>
      <c r="H43" s="1" t="s">
        <v>1072</v>
      </c>
    </row>
    <row r="44" spans="1:8" ht="15">
      <c r="A44" s="2" t="s">
        <v>403</v>
      </c>
      <c r="B44" s="7">
        <f>'04_业务结构原始数据'!B37</f>
        <v>4143.92</v>
      </c>
      <c r="C44" s="7">
        <f>'04_业务结构原始数据'!D37</f>
        <v>6707.3</v>
      </c>
      <c r="D44" s="7">
        <f>'04_业务结构原始数据'!F37</f>
        <v>52095.34</v>
      </c>
      <c r="E44" s="9">
        <f>'04_业务结构原始数据'!G37</f>
        <v>0.31080000000000002</v>
      </c>
      <c r="F44" s="2"/>
      <c r="G44" s="2"/>
      <c r="H44" s="1" t="s">
        <v>1072</v>
      </c>
    </row>
    <row r="45" spans="1:8" ht="15">
      <c r="A45" s="2" t="s">
        <v>404</v>
      </c>
      <c r="B45" s="7">
        <f>'04_业务结构原始数据'!B38</f>
        <v>3222.43</v>
      </c>
      <c r="C45" s="7">
        <f>'04_业务结构原始数据'!D38</f>
        <v>9765.44</v>
      </c>
      <c r="D45" s="7">
        <f>'04_业务结构原始数据'!F38</f>
        <v>38543.68</v>
      </c>
      <c r="E45" s="9">
        <f>'04_业务结构原始数据'!G38</f>
        <v>0.23</v>
      </c>
      <c r="F45" s="2"/>
      <c r="G45" s="2"/>
      <c r="H45" s="1" t="s">
        <v>1072</v>
      </c>
    </row>
    <row r="46" spans="1:8" ht="15">
      <c r="A46" s="2" t="s">
        <v>405</v>
      </c>
      <c r="B46" s="7">
        <f>'04_业务结构原始数据'!B39</f>
        <v>5294.13</v>
      </c>
      <c r="C46" s="7">
        <f>'04_业务结构原始数据'!D39</f>
        <v>15783.55</v>
      </c>
      <c r="D46" s="7">
        <f>'04_业务结构原始数据'!F39</f>
        <v>52156.15</v>
      </c>
      <c r="E46" s="9">
        <f>'04_业务结构原始数据'!G39</f>
        <v>0.31119999999999998</v>
      </c>
      <c r="F46" s="2"/>
      <c r="G46" s="2"/>
      <c r="H46" s="1" t="s">
        <v>1072</v>
      </c>
    </row>
    <row r="48" spans="1:8" ht="20" customHeight="1">
      <c r="A48" s="84" t="s">
        <v>1073</v>
      </c>
      <c r="B48" s="83"/>
      <c r="C48" s="83"/>
      <c r="D48" s="83"/>
      <c r="E48" s="83"/>
      <c r="F48" s="83"/>
      <c r="G48" s="83"/>
      <c r="H48" s="83"/>
    </row>
    <row r="49" spans="1:8" ht="30" customHeight="1">
      <c r="A49" s="4" t="s">
        <v>1041</v>
      </c>
      <c r="B49" s="4" t="s">
        <v>266</v>
      </c>
      <c r="C49" s="4" t="s">
        <v>1074</v>
      </c>
      <c r="D49" s="4" t="s">
        <v>1075</v>
      </c>
      <c r="E49" s="4"/>
      <c r="F49" s="4"/>
      <c r="G49" s="4"/>
      <c r="H49" s="4" t="s">
        <v>1047</v>
      </c>
    </row>
    <row r="50" spans="1:8" ht="15">
      <c r="A50" s="2" t="s">
        <v>251</v>
      </c>
      <c r="B50" s="7">
        <f>'03_财务原始数据'!C15</f>
        <v>4995.18</v>
      </c>
      <c r="C50" s="9">
        <f>'03_财务原始数据'!C54</f>
        <v>0.31390000000000001</v>
      </c>
      <c r="D50" s="44" t="s">
        <v>147</v>
      </c>
      <c r="E50" s="2"/>
      <c r="F50" s="2"/>
      <c r="G50" s="2"/>
      <c r="H50" s="1" t="s">
        <v>1076</v>
      </c>
    </row>
    <row r="51" spans="1:8" ht="15">
      <c r="A51" s="2" t="s">
        <v>252</v>
      </c>
      <c r="B51" s="7">
        <f>'03_财务原始数据'!D15</f>
        <v>7001.7</v>
      </c>
      <c r="C51" s="9">
        <f>'03_财务原始数据'!D54</f>
        <v>0.17829999999999999</v>
      </c>
      <c r="D51" s="9">
        <f>'03_财务原始数据'!D15/'03_财务原始数据'!C15-1</f>
        <v>0.40169123034605358</v>
      </c>
      <c r="E51" s="2"/>
      <c r="F51" s="2"/>
      <c r="G51" s="2"/>
      <c r="H51" s="1" t="s">
        <v>1076</v>
      </c>
    </row>
    <row r="52" spans="1:8" ht="15">
      <c r="A52" s="2" t="s">
        <v>253</v>
      </c>
      <c r="B52" s="7">
        <f>'03_财务原始数据'!E15</f>
        <v>14496.56</v>
      </c>
      <c r="C52" s="9">
        <f>'03_财务原始数据'!E54</f>
        <v>8.5300000000000001E-2</v>
      </c>
      <c r="D52" s="9">
        <f>'03_财务原始数据'!E15/'03_财务原始数据'!D15-1</f>
        <v>1.0704343230929632</v>
      </c>
      <c r="E52" s="2"/>
      <c r="F52" s="2"/>
      <c r="G52" s="2"/>
      <c r="H52" s="1" t="s">
        <v>1076</v>
      </c>
    </row>
    <row r="54" spans="1:8" ht="20" customHeight="1">
      <c r="A54" s="84" t="s">
        <v>1077</v>
      </c>
      <c r="B54" s="83"/>
      <c r="C54" s="83"/>
      <c r="D54" s="83"/>
      <c r="E54" s="83"/>
      <c r="F54" s="83"/>
      <c r="G54" s="83"/>
      <c r="H54" s="83"/>
    </row>
    <row r="55" spans="1:8" ht="30" customHeight="1">
      <c r="A55" s="4" t="s">
        <v>969</v>
      </c>
      <c r="B55" s="4" t="s">
        <v>1078</v>
      </c>
      <c r="C55" s="4" t="s">
        <v>1079</v>
      </c>
      <c r="D55" s="4" t="s">
        <v>1080</v>
      </c>
      <c r="E55" s="4" t="s">
        <v>422</v>
      </c>
      <c r="F55" s="4" t="s">
        <v>423</v>
      </c>
      <c r="G55" s="4" t="s">
        <v>424</v>
      </c>
      <c r="H55" s="4" t="s">
        <v>1047</v>
      </c>
    </row>
    <row r="56" spans="1:8" ht="15">
      <c r="A56" s="2" t="s">
        <v>450</v>
      </c>
      <c r="B56" s="7">
        <f>'05_客户与同业原始数据'!B25</f>
        <v>105569.8</v>
      </c>
      <c r="C56" s="7">
        <f>'05_客户与同业原始数据'!D25</f>
        <v>130536.1</v>
      </c>
      <c r="D56" s="7">
        <f>'05_客户与同业原始数据'!F25</f>
        <v>200099.9</v>
      </c>
      <c r="E56" s="9">
        <f>'05_客户与同业原始数据'!C25</f>
        <v>0.31530000000000002</v>
      </c>
      <c r="F56" s="9">
        <f>'05_客户与同业原始数据'!E25</f>
        <v>0.28649999999999998</v>
      </c>
      <c r="G56" s="9">
        <f>'05_客户与同业原始数据'!G25</f>
        <v>0.37669999999999998</v>
      </c>
      <c r="H56" s="1" t="s">
        <v>1081</v>
      </c>
    </row>
    <row r="57" spans="1:8" ht="15">
      <c r="A57" s="2" t="s">
        <v>451</v>
      </c>
      <c r="B57" s="7">
        <f>'05_客户与同业原始数据'!B26</f>
        <v>28699.17</v>
      </c>
      <c r="C57" s="7">
        <f>'05_客户与同业原始数据'!D26</f>
        <v>37483.06</v>
      </c>
      <c r="D57" s="7">
        <f>'05_客户与同业原始数据'!F26</f>
        <v>49348.3</v>
      </c>
      <c r="E57" s="9">
        <f>'05_客户与同业原始数据'!C26</f>
        <v>0.48470000000000002</v>
      </c>
      <c r="F57" s="9">
        <f>'05_客户与同业原始数据'!E26</f>
        <v>0.47949999999999998</v>
      </c>
      <c r="G57" s="9">
        <f>'05_客户与同业原始数据'!G26</f>
        <v>0.46489999999999998</v>
      </c>
      <c r="H57" s="1" t="s">
        <v>1081</v>
      </c>
    </row>
    <row r="58" spans="1:8" ht="15">
      <c r="A58" s="2" t="s">
        <v>452</v>
      </c>
      <c r="B58" s="7">
        <f>'05_客户与同业原始数据'!B27</f>
        <v>5011.26</v>
      </c>
      <c r="C58" s="7">
        <f>'05_客户与同业原始数据'!D27</f>
        <v>10320.1</v>
      </c>
      <c r="D58" s="7">
        <f>'05_客户与同业原始数据'!F27</f>
        <v>33749.06</v>
      </c>
      <c r="E58" s="9">
        <f>'05_客户与同业原始数据'!C27</f>
        <v>0.33479999999999999</v>
      </c>
      <c r="F58" s="9">
        <f>'05_客户与同业原始数据'!E27</f>
        <v>0.3876</v>
      </c>
      <c r="G58" s="9">
        <f>'05_客户与同业原始数据'!G27</f>
        <v>0.52829999999999999</v>
      </c>
      <c r="H58" s="1" t="s">
        <v>1081</v>
      </c>
    </row>
    <row r="59" spans="1:8" ht="15">
      <c r="A59" s="2" t="s">
        <v>453</v>
      </c>
      <c r="B59" s="7">
        <f>'05_客户与同业原始数据'!B28</f>
        <v>5398.83</v>
      </c>
      <c r="C59" s="7">
        <f>'05_客户与同业原始数据'!D28</f>
        <v>5550.03</v>
      </c>
      <c r="D59" s="7">
        <f>'05_客户与同业原始数据'!F28</f>
        <v>25818.79</v>
      </c>
      <c r="E59" s="9">
        <f>'05_客户与同业原始数据'!C28</f>
        <v>0.50449999999999995</v>
      </c>
      <c r="F59" s="9">
        <f>'05_客户与同业原始数据'!E28</f>
        <v>0.443</v>
      </c>
      <c r="G59" s="9">
        <f>'05_客户与同业原始数据'!G28</f>
        <v>0.4078</v>
      </c>
      <c r="H59" s="1" t="s">
        <v>1081</v>
      </c>
    </row>
    <row r="60" spans="1:8" ht="15">
      <c r="A60" s="2" t="s">
        <v>454</v>
      </c>
      <c r="B60" s="7">
        <f>'05_客户与同业原始数据'!B29</f>
        <v>36169.769999999997</v>
      </c>
      <c r="C60" s="7">
        <f>'05_客户与同业原始数据'!D29</f>
        <v>45972.32</v>
      </c>
      <c r="D60" s="7">
        <f>'05_客户与同业原始数据'!F29</f>
        <v>77254.009999999995</v>
      </c>
      <c r="E60" s="9">
        <f>'05_客户与同业原始数据'!C29</f>
        <v>0.4098</v>
      </c>
      <c r="F60" s="9">
        <f>'05_客户与同业原始数据'!E29</f>
        <v>0.3992</v>
      </c>
      <c r="G60" s="9">
        <f>'05_客户与同业原始数据'!G29</f>
        <v>0.44440000000000002</v>
      </c>
      <c r="H60" s="1" t="s">
        <v>1081</v>
      </c>
    </row>
    <row r="61" spans="1:8" ht="15">
      <c r="A61" s="2" t="s">
        <v>146</v>
      </c>
      <c r="B61" s="7">
        <f>'05_客户与同业原始数据'!B30</f>
        <v>15913.44</v>
      </c>
      <c r="C61" s="7">
        <f>'05_客户与同业原始数据'!D30</f>
        <v>39277.07</v>
      </c>
      <c r="D61" s="7">
        <f>'05_客户与同业原始数据'!F30</f>
        <v>169926.93</v>
      </c>
      <c r="E61" s="9">
        <f>'05_客户与同业原始数据'!C30</f>
        <v>0.44750000000000001</v>
      </c>
      <c r="F61" s="9">
        <f>'05_客户与同业原始数据'!E30</f>
        <v>0.57220000000000004</v>
      </c>
      <c r="G61" s="9">
        <f>'05_客户与同业原始数据'!G30</f>
        <v>0.60440000000000005</v>
      </c>
      <c r="H61" s="1" t="s">
        <v>1081</v>
      </c>
    </row>
    <row r="63" spans="1:8" ht="20" customHeight="1">
      <c r="A63" s="84" t="s">
        <v>1082</v>
      </c>
      <c r="B63" s="83"/>
      <c r="C63" s="83"/>
      <c r="D63" s="83"/>
      <c r="E63" s="83"/>
      <c r="F63" s="83"/>
      <c r="G63" s="83"/>
      <c r="H63" s="83"/>
    </row>
    <row r="64" spans="1:8" ht="30" customHeight="1">
      <c r="A64" s="4" t="s">
        <v>229</v>
      </c>
      <c r="B64" s="4" t="s">
        <v>1083</v>
      </c>
      <c r="C64" s="4" t="s">
        <v>1084</v>
      </c>
      <c r="D64" s="4" t="s">
        <v>1085</v>
      </c>
      <c r="E64" s="4" t="s">
        <v>1086</v>
      </c>
      <c r="F64" s="4" t="s">
        <v>1087</v>
      </c>
      <c r="G64" s="4"/>
      <c r="H64" s="4" t="s">
        <v>1047</v>
      </c>
    </row>
    <row r="65" spans="1:8" ht="15">
      <c r="A65" s="21" t="str">
        <f>'02_发行上市原始数据'!A66</f>
        <v>2026-08-19</v>
      </c>
      <c r="B65" s="10">
        <f>'02_发行上市原始数据'!C66</f>
        <v>845</v>
      </c>
      <c r="C65" s="9">
        <f>'02_发行上市原始数据'!I66</f>
        <v>4.6033999999999997</v>
      </c>
      <c r="D65" s="7">
        <f>'02_发行上市原始数据'!G66/100000000</f>
        <v>231.59535334</v>
      </c>
      <c r="E65" s="9">
        <f>'02_发行上市原始数据'!K66</f>
        <v>0.8528</v>
      </c>
      <c r="F65" s="7">
        <f>'02_发行上市原始数据'!C66*'02_发行上市原始数据'!B10/100000000</f>
        <v>3417.723673</v>
      </c>
      <c r="G65" s="2"/>
      <c r="H65" s="1" t="s">
        <v>1088</v>
      </c>
    </row>
    <row r="66" spans="1:8" ht="15">
      <c r="A66" s="21" t="str">
        <f>'02_发行上市原始数据'!A67</f>
        <v>2026-08-20</v>
      </c>
      <c r="B66" s="10">
        <f>'02_发行上市原始数据'!C67</f>
        <v>687</v>
      </c>
      <c r="C66" s="9">
        <f>'02_发行上市原始数据'!I67</f>
        <v>-0.187</v>
      </c>
      <c r="D66" s="7">
        <f>'02_发行上市原始数据'!G67/100000000</f>
        <v>90.718690800000005</v>
      </c>
      <c r="E66" s="9">
        <f>'02_发行上市原始数据'!K67</f>
        <v>0.41980000000000001</v>
      </c>
      <c r="F66" s="7">
        <f>'02_发行上市原始数据'!C67*'02_发行上市原始数据'!B10/100000000</f>
        <v>2778.6700157999999</v>
      </c>
      <c r="G66" s="2"/>
      <c r="H66" s="1" t="s">
        <v>1088</v>
      </c>
    </row>
    <row r="67" spans="1:8" ht="15">
      <c r="A67" s="21" t="str">
        <f>'02_发行上市原始数据'!A68</f>
        <v>2026-08-21</v>
      </c>
      <c r="B67" s="10">
        <f>'02_发行上市原始数据'!C68</f>
        <v>672.41</v>
      </c>
      <c r="C67" s="9">
        <f>'02_发行上市原始数据'!I68</f>
        <v>-2.12E-2</v>
      </c>
      <c r="D67" s="7">
        <f>'02_发行上市原始数据'!G68/100000000</f>
        <v>51.38831982</v>
      </c>
      <c r="E67" s="9">
        <f>'02_发行上市原始数据'!K68</f>
        <v>0.25280000000000002</v>
      </c>
      <c r="F67" s="7">
        <f>'02_发行上市原始数据'!C68*'02_发行上市原始数据'!B10/100000000</f>
        <v>2719.6586685940001</v>
      </c>
      <c r="G67" s="2"/>
      <c r="H67" s="1" t="s">
        <v>1088</v>
      </c>
    </row>
    <row r="68" spans="1:8" ht="15">
      <c r="A68" s="21" t="str">
        <f>'02_发行上市原始数据'!A69</f>
        <v>2026-08-24</v>
      </c>
      <c r="B68" s="10">
        <f>'02_发行上市原始数据'!C69</f>
        <v>603.08000000000004</v>
      </c>
      <c r="C68" s="9">
        <f>'02_发行上市原始数据'!I69</f>
        <v>-0.1031</v>
      </c>
      <c r="D68" s="7">
        <f>'02_发行上市原始数据'!G69/100000000</f>
        <v>50.155498530000003</v>
      </c>
      <c r="E68" s="9">
        <f>'02_发行上市原始数据'!K69</f>
        <v>0.2702</v>
      </c>
      <c r="F68" s="7">
        <f>'02_发行上市原始数据'!C69*'02_发行上市原始数据'!B10/100000000</f>
        <v>2439.243541672</v>
      </c>
      <c r="G68" s="2"/>
      <c r="H68" s="1" t="s">
        <v>1088</v>
      </c>
    </row>
    <row r="69" spans="1:8" ht="15">
      <c r="A69" s="21" t="str">
        <f>'02_发行上市原始数据'!A70</f>
        <v>2026-08-25</v>
      </c>
      <c r="B69" s="10">
        <f>'02_发行上市原始数据'!C70</f>
        <v>602.79999999999995</v>
      </c>
      <c r="C69" s="9">
        <f>'02_发行上市原始数据'!I70</f>
        <v>-5.0000000000000001E-4</v>
      </c>
      <c r="D69" s="7">
        <f>'02_发行上市原始数据'!G70/100000000</f>
        <v>32.447768580000002</v>
      </c>
      <c r="E69" s="9">
        <f>'02_发行上市原始数据'!K70</f>
        <v>0.1769</v>
      </c>
      <c r="F69" s="7">
        <f>'02_发行上市原始数据'!C70*'02_发行上市原始数据'!B10/100000000</f>
        <v>2438.1110415199996</v>
      </c>
      <c r="G69" s="2"/>
      <c r="H69" s="1" t="s">
        <v>1088</v>
      </c>
    </row>
    <row r="70" spans="1:8" ht="15">
      <c r="A70" s="21" t="str">
        <f>'02_发行上市原始数据'!A71</f>
        <v>2026-08-26</v>
      </c>
      <c r="B70" s="10">
        <f>'02_发行上市原始数据'!C71</f>
        <v>591.53</v>
      </c>
      <c r="C70" s="9">
        <f>'02_发行上市原始数据'!I71</f>
        <v>-1.8700000000000001E-2</v>
      </c>
      <c r="D70" s="7">
        <f>'02_发行上市原始数据'!G71/100000000</f>
        <v>33.24850833</v>
      </c>
      <c r="E70" s="9">
        <f>'02_发行上市原始数据'!K71</f>
        <v>0.18559999999999999</v>
      </c>
      <c r="F70" s="7">
        <f>'02_发行上市原始数据'!C71*'02_发行上市原始数据'!B10/100000000</f>
        <v>2392.5279104019996</v>
      </c>
      <c r="G70" s="2"/>
      <c r="H70" s="1" t="s">
        <v>1088</v>
      </c>
    </row>
    <row r="71" spans="1:8" ht="15">
      <c r="A71" s="21" t="str">
        <f>'02_发行上市原始数据'!A72</f>
        <v>2026-08-27</v>
      </c>
      <c r="B71" s="10">
        <f>'02_发行上市原始数据'!C72</f>
        <v>615.03</v>
      </c>
      <c r="C71" s="9">
        <f>'02_发行上市原始数据'!I72</f>
        <v>3.9699999999999999E-2</v>
      </c>
      <c r="D71" s="7">
        <f>'02_发行上市原始数据'!G72/100000000</f>
        <v>37.954479120000002</v>
      </c>
      <c r="E71" s="9">
        <f>'02_发行上市原始数据'!K72</f>
        <v>0.2107</v>
      </c>
      <c r="F71" s="7">
        <f>'02_发行上市原始数据'!C72*'02_发行上市原始数据'!B10/100000000</f>
        <v>2487.5770303019999</v>
      </c>
      <c r="G71" s="2"/>
      <c r="H71" s="1" t="s">
        <v>1088</v>
      </c>
    </row>
    <row r="72" spans="1:8" ht="15">
      <c r="A72" s="21" t="str">
        <f>'02_发行上市原始数据'!A73</f>
        <v>2026-08-28</v>
      </c>
      <c r="B72" s="10">
        <f>'02_发行上市原始数据'!C73</f>
        <v>585</v>
      </c>
      <c r="C72" s="9">
        <f>'02_发行上市原始数据'!I73</f>
        <v>-4.8800000000000003E-2</v>
      </c>
      <c r="D72" s="7">
        <f>'02_发行上市原始数据'!G73/100000000</f>
        <v>33.626081980000002</v>
      </c>
      <c r="E72" s="9">
        <f>'02_发行上市原始数据'!K73</f>
        <v>0.18859999999999999</v>
      </c>
      <c r="F72" s="7">
        <f>'02_发行上市原始数据'!C73*'02_发行上市原始数据'!B10/100000000</f>
        <v>2366.1163889999998</v>
      </c>
      <c r="G72" s="2"/>
      <c r="H72" s="1" t="s">
        <v>1088</v>
      </c>
    </row>
    <row r="73" spans="1:8" ht="15" customHeight="1">
      <c r="A73" s="85" t="s">
        <v>1089</v>
      </c>
      <c r="B73" s="83"/>
      <c r="C73" s="83"/>
      <c r="D73" s="83"/>
      <c r="E73" s="83"/>
      <c r="F73" s="83"/>
      <c r="G73" s="83"/>
      <c r="H73" s="83"/>
    </row>
    <row r="75" spans="1:8" ht="20" customHeight="1">
      <c r="A75" s="84" t="s">
        <v>1090</v>
      </c>
      <c r="B75" s="83"/>
      <c r="C75" s="83"/>
      <c r="D75" s="83"/>
      <c r="E75" s="83"/>
      <c r="F75" s="83"/>
      <c r="G75" s="83"/>
      <c r="H75" s="83"/>
    </row>
    <row r="76" spans="1:8" ht="30" customHeight="1">
      <c r="A76" s="4" t="s">
        <v>154</v>
      </c>
      <c r="B76" s="4" t="s">
        <v>1091</v>
      </c>
      <c r="C76" s="4" t="s">
        <v>1092</v>
      </c>
      <c r="D76" s="4" t="s">
        <v>1093</v>
      </c>
      <c r="E76" s="4" t="s">
        <v>1094</v>
      </c>
      <c r="F76" s="4"/>
      <c r="G76" s="4"/>
      <c r="H76" s="4" t="s">
        <v>1047</v>
      </c>
    </row>
    <row r="77" spans="1:8" ht="30">
      <c r="A77" s="15" t="s">
        <v>255</v>
      </c>
      <c r="B77" s="17">
        <f>'03_财务原始数据'!C112</f>
        <v>105200</v>
      </c>
      <c r="C77" s="17">
        <f>'03_财务原始数据'!D112</f>
        <v>112800</v>
      </c>
      <c r="D77" s="17">
        <f>'03_财务原始数据'!C88</f>
        <v>115224.56</v>
      </c>
      <c r="E77" s="17">
        <f>'03_财务原始数据'!D88</f>
        <v>77571.92</v>
      </c>
      <c r="F77" s="15"/>
      <c r="G77" s="15"/>
      <c r="H77" s="53" t="s">
        <v>1095</v>
      </c>
    </row>
    <row r="78" spans="1:8" ht="30">
      <c r="A78" s="15" t="s">
        <v>1043</v>
      </c>
      <c r="B78" s="17">
        <f>'03_财务原始数据'!C113</f>
        <v>25800</v>
      </c>
      <c r="C78" s="17">
        <f>'03_财务原始数据'!D113</f>
        <v>30600</v>
      </c>
      <c r="D78" s="17">
        <f>'03_财务原始数据'!C91</f>
        <v>27399.99</v>
      </c>
      <c r="E78" s="17">
        <f>'03_财务原始数据'!D91</f>
        <v>-3202.45</v>
      </c>
      <c r="F78" s="15"/>
      <c r="G78" s="15"/>
      <c r="H78" s="53" t="s">
        <v>1095</v>
      </c>
    </row>
    <row r="79" spans="1:8" ht="30">
      <c r="A79" s="15" t="s">
        <v>1044</v>
      </c>
      <c r="B79" s="17">
        <f>'03_财务原始数据'!C114</f>
        <v>23600</v>
      </c>
      <c r="C79" s="17">
        <f>'03_财务原始数据'!D114</f>
        <v>28300</v>
      </c>
      <c r="D79" s="17">
        <f>'03_财务原始数据'!C92</f>
        <v>24393.03</v>
      </c>
      <c r="E79" s="17">
        <f>'03_财务原始数据'!D92</f>
        <v>30243.35</v>
      </c>
      <c r="F79" s="15"/>
      <c r="G79" s="15"/>
      <c r="H79" s="53" t="s">
        <v>1095</v>
      </c>
    </row>
    <row r="80" spans="1:8" ht="15" customHeight="1">
      <c r="A80" s="85" t="s">
        <v>1096</v>
      </c>
      <c r="B80" s="83"/>
      <c r="C80" s="83"/>
      <c r="D80" s="83"/>
      <c r="E80" s="83"/>
      <c r="F80" s="83"/>
      <c r="G80" s="83"/>
      <c r="H80" s="83"/>
    </row>
    <row r="83" spans="1:1">
      <c r="A83" s="79" t="s">
        <v>1097</v>
      </c>
    </row>
    <row r="465" spans="1:8" ht="39" customHeight="1">
      <c r="A465" s="87" t="s">
        <v>1098</v>
      </c>
      <c r="B465" s="83"/>
      <c r="C465" s="83"/>
      <c r="D465" s="83"/>
      <c r="E465" s="83"/>
      <c r="F465" s="83"/>
      <c r="G465" s="83"/>
      <c r="H465" s="83"/>
    </row>
  </sheetData>
  <mergeCells count="17">
    <mergeCell ref="A1:H1"/>
    <mergeCell ref="A75:H75"/>
    <mergeCell ref="A22:H22"/>
    <mergeCell ref="A2:H2"/>
    <mergeCell ref="A54:H54"/>
    <mergeCell ref="A63:H63"/>
    <mergeCell ref="A28:H28"/>
    <mergeCell ref="A41:H41"/>
    <mergeCell ref="A33:H33"/>
    <mergeCell ref="A9:H9"/>
    <mergeCell ref="A80:H80"/>
    <mergeCell ref="A48:H48"/>
    <mergeCell ref="A3:H3"/>
    <mergeCell ref="A465:H465"/>
    <mergeCell ref="A15:H15"/>
    <mergeCell ref="A35:H35"/>
    <mergeCell ref="A73:H73"/>
  </mergeCells>
  <phoneticPr fontId="6" type="noConversion"/>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F39"/>
  <sheetViews>
    <sheetView showGridLines="0" workbookViewId="0"/>
  </sheetViews>
  <sheetFormatPr baseColWidth="10" defaultColWidth="8.83203125" defaultRowHeight="14"/>
  <cols>
    <col min="1" max="1" width="8" customWidth="1"/>
    <col min="2" max="2" width="50" customWidth="1"/>
    <col min="3" max="3" width="66" customWidth="1"/>
    <col min="4" max="4" width="12" customWidth="1"/>
    <col min="5" max="5" width="13" customWidth="1"/>
    <col min="6" max="6" width="52" customWidth="1"/>
  </cols>
  <sheetData>
    <row r="1" spans="1:6" ht="26" customHeight="1">
      <c r="A1" s="82" t="s">
        <v>1099</v>
      </c>
      <c r="B1" s="83"/>
      <c r="C1" s="83"/>
      <c r="D1" s="83"/>
      <c r="E1" s="83"/>
      <c r="F1" s="83"/>
    </row>
    <row r="2" spans="1:6" ht="26" customHeight="1">
      <c r="A2" s="87" t="s">
        <v>1100</v>
      </c>
      <c r="B2" s="83"/>
      <c r="C2" s="83"/>
      <c r="D2" s="83"/>
      <c r="E2" s="83"/>
      <c r="F2" s="83"/>
    </row>
    <row r="3" spans="1:6" ht="30" customHeight="1">
      <c r="A3" s="4" t="s">
        <v>1101</v>
      </c>
      <c r="B3" s="4" t="s">
        <v>1102</v>
      </c>
      <c r="C3" s="4" t="s">
        <v>1103</v>
      </c>
      <c r="D3" s="4" t="s">
        <v>157</v>
      </c>
      <c r="E3" s="4" t="s">
        <v>156</v>
      </c>
      <c r="F3" s="4" t="s">
        <v>1104</v>
      </c>
    </row>
    <row r="4" spans="1:6" ht="20" customHeight="1">
      <c r="A4" s="84" t="s">
        <v>1105</v>
      </c>
      <c r="B4" s="83"/>
      <c r="C4" s="83"/>
      <c r="D4" s="83"/>
      <c r="E4" s="83"/>
      <c r="F4" s="83"/>
    </row>
    <row r="5" spans="1:6" ht="45">
      <c r="A5" s="45" t="s">
        <v>1106</v>
      </c>
      <c r="B5" s="48" t="s">
        <v>1107</v>
      </c>
      <c r="C5" s="48" t="s">
        <v>1108</v>
      </c>
      <c r="D5" s="45" t="s">
        <v>90</v>
      </c>
      <c r="E5" s="45" t="s">
        <v>160</v>
      </c>
      <c r="F5" s="48" t="s">
        <v>1109</v>
      </c>
    </row>
    <row r="6" spans="1:6" ht="75">
      <c r="A6" s="54" t="s">
        <v>1110</v>
      </c>
      <c r="B6" s="58" t="s">
        <v>1111</v>
      </c>
      <c r="C6" s="58" t="s">
        <v>1112</v>
      </c>
      <c r="D6" s="54" t="s">
        <v>90</v>
      </c>
      <c r="E6" s="54" t="s">
        <v>662</v>
      </c>
      <c r="F6" s="58" t="s">
        <v>1113</v>
      </c>
    </row>
    <row r="7" spans="1:6" ht="75">
      <c r="A7" s="54" t="s">
        <v>1114</v>
      </c>
      <c r="B7" s="58" t="s">
        <v>1115</v>
      </c>
      <c r="C7" s="58" t="s">
        <v>1116</v>
      </c>
      <c r="D7" s="54" t="s">
        <v>1117</v>
      </c>
      <c r="E7" s="54" t="s">
        <v>1118</v>
      </c>
      <c r="F7" s="58" t="s">
        <v>1119</v>
      </c>
    </row>
    <row r="8" spans="1:6" ht="20" customHeight="1">
      <c r="A8" s="84" t="s">
        <v>1120</v>
      </c>
      <c r="B8" s="83"/>
      <c r="C8" s="83"/>
      <c r="D8" s="83"/>
      <c r="E8" s="83"/>
      <c r="F8" s="83"/>
    </row>
    <row r="9" spans="1:6" ht="75">
      <c r="A9" s="2" t="s">
        <v>1121</v>
      </c>
      <c r="B9" s="1" t="s">
        <v>1122</v>
      </c>
      <c r="C9" s="1" t="s">
        <v>1123</v>
      </c>
      <c r="D9" s="2" t="s">
        <v>90</v>
      </c>
      <c r="E9" s="2" t="s">
        <v>662</v>
      </c>
      <c r="F9" s="1" t="s">
        <v>1124</v>
      </c>
    </row>
    <row r="10" spans="1:6" ht="75">
      <c r="A10" s="2" t="s">
        <v>1125</v>
      </c>
      <c r="B10" s="1" t="s">
        <v>1126</v>
      </c>
      <c r="C10" s="1" t="s">
        <v>1127</v>
      </c>
      <c r="D10" s="2" t="s">
        <v>90</v>
      </c>
      <c r="E10" s="2" t="s">
        <v>160</v>
      </c>
      <c r="F10" s="1" t="s">
        <v>1128</v>
      </c>
    </row>
    <row r="11" spans="1:6" ht="45">
      <c r="A11" s="2" t="s">
        <v>1129</v>
      </c>
      <c r="B11" s="1" t="s">
        <v>1130</v>
      </c>
      <c r="C11" s="1" t="s">
        <v>1131</v>
      </c>
      <c r="D11" s="2" t="s">
        <v>90</v>
      </c>
      <c r="E11" s="2" t="s">
        <v>160</v>
      </c>
      <c r="F11" s="1" t="s">
        <v>1132</v>
      </c>
    </row>
    <row r="12" spans="1:6" ht="60">
      <c r="A12" s="2" t="s">
        <v>1133</v>
      </c>
      <c r="B12" s="1" t="s">
        <v>1134</v>
      </c>
      <c r="C12" s="1" t="s">
        <v>1135</v>
      </c>
      <c r="D12" s="2" t="s">
        <v>90</v>
      </c>
      <c r="E12" s="2" t="s">
        <v>160</v>
      </c>
      <c r="F12" s="1" t="s">
        <v>1136</v>
      </c>
    </row>
    <row r="13" spans="1:6" ht="45">
      <c r="A13" s="2" t="s">
        <v>1137</v>
      </c>
      <c r="B13" s="1" t="s">
        <v>1138</v>
      </c>
      <c r="C13" s="1" t="s">
        <v>1139</v>
      </c>
      <c r="D13" s="2" t="s">
        <v>90</v>
      </c>
      <c r="E13" s="2" t="s">
        <v>160</v>
      </c>
      <c r="F13" s="1" t="s">
        <v>1140</v>
      </c>
    </row>
    <row r="14" spans="1:6" ht="20" customHeight="1">
      <c r="A14" s="84" t="s">
        <v>1141</v>
      </c>
      <c r="B14" s="83"/>
      <c r="C14" s="83"/>
      <c r="D14" s="83"/>
      <c r="E14" s="83"/>
      <c r="F14" s="83"/>
    </row>
    <row r="15" spans="1:6" ht="75">
      <c r="A15" s="45" t="s">
        <v>1142</v>
      </c>
      <c r="B15" s="48" t="s">
        <v>1143</v>
      </c>
      <c r="C15" s="48" t="s">
        <v>1144</v>
      </c>
      <c r="D15" s="45" t="s">
        <v>90</v>
      </c>
      <c r="E15" s="45" t="s">
        <v>662</v>
      </c>
      <c r="F15" s="48" t="s">
        <v>1145</v>
      </c>
    </row>
    <row r="16" spans="1:6" ht="75">
      <c r="A16" s="2" t="s">
        <v>1146</v>
      </c>
      <c r="B16" s="1" t="s">
        <v>1147</v>
      </c>
      <c r="C16" s="1" t="s">
        <v>1148</v>
      </c>
      <c r="D16" s="2" t="s">
        <v>90</v>
      </c>
      <c r="E16" s="2" t="s">
        <v>160</v>
      </c>
      <c r="F16" s="1" t="s">
        <v>1149</v>
      </c>
    </row>
    <row r="17" spans="1:6" ht="75">
      <c r="A17" s="2" t="s">
        <v>1150</v>
      </c>
      <c r="B17" s="1" t="s">
        <v>1151</v>
      </c>
      <c r="C17" s="1" t="s">
        <v>1152</v>
      </c>
      <c r="D17" s="2" t="s">
        <v>90</v>
      </c>
      <c r="E17" s="2" t="s">
        <v>662</v>
      </c>
      <c r="F17" s="1" t="s">
        <v>1153</v>
      </c>
    </row>
    <row r="18" spans="1:6" ht="20" customHeight="1">
      <c r="A18" s="84" t="s">
        <v>1154</v>
      </c>
      <c r="B18" s="83"/>
      <c r="C18" s="83"/>
      <c r="D18" s="83"/>
      <c r="E18" s="83"/>
      <c r="F18" s="83"/>
    </row>
    <row r="19" spans="1:6" ht="75">
      <c r="A19" s="54" t="s">
        <v>1155</v>
      </c>
      <c r="B19" s="58" t="s">
        <v>1156</v>
      </c>
      <c r="C19" s="58" t="s">
        <v>1157</v>
      </c>
      <c r="D19" s="54" t="s">
        <v>1117</v>
      </c>
      <c r="E19" s="54" t="s">
        <v>612</v>
      </c>
      <c r="F19" s="58" t="s">
        <v>1158</v>
      </c>
    </row>
    <row r="20" spans="1:6" ht="90">
      <c r="A20" s="54" t="s">
        <v>1159</v>
      </c>
      <c r="B20" s="58" t="s">
        <v>1160</v>
      </c>
      <c r="C20" s="58" t="s">
        <v>1161</v>
      </c>
      <c r="D20" s="54" t="s">
        <v>90</v>
      </c>
      <c r="E20" s="54" t="s">
        <v>160</v>
      </c>
      <c r="F20" s="58" t="s">
        <v>1162</v>
      </c>
    </row>
    <row r="21" spans="1:6" ht="60">
      <c r="A21" s="2" t="s">
        <v>1163</v>
      </c>
      <c r="B21" s="1" t="s">
        <v>1164</v>
      </c>
      <c r="C21" s="1" t="s">
        <v>1165</v>
      </c>
      <c r="D21" s="2" t="s">
        <v>1117</v>
      </c>
      <c r="E21" s="2" t="s">
        <v>673</v>
      </c>
      <c r="F21" s="1" t="s">
        <v>1166</v>
      </c>
    </row>
    <row r="22" spans="1:6" ht="20" customHeight="1">
      <c r="A22" s="84" t="s">
        <v>1167</v>
      </c>
      <c r="B22" s="83"/>
      <c r="C22" s="83"/>
      <c r="D22" s="83"/>
      <c r="E22" s="83"/>
      <c r="F22" s="83"/>
    </row>
    <row r="23" spans="1:6" ht="90">
      <c r="A23" s="2" t="s">
        <v>1168</v>
      </c>
      <c r="B23" s="1" t="s">
        <v>1169</v>
      </c>
      <c r="C23" s="1" t="s">
        <v>1170</v>
      </c>
      <c r="D23" s="2" t="s">
        <v>90</v>
      </c>
      <c r="E23" s="2" t="s">
        <v>662</v>
      </c>
      <c r="F23" s="1" t="s">
        <v>1171</v>
      </c>
    </row>
    <row r="24" spans="1:6" ht="60">
      <c r="A24" s="2" t="s">
        <v>1172</v>
      </c>
      <c r="B24" s="1" t="s">
        <v>1173</v>
      </c>
      <c r="C24" s="1" t="s">
        <v>1174</v>
      </c>
      <c r="D24" s="2" t="s">
        <v>90</v>
      </c>
      <c r="E24" s="2" t="s">
        <v>662</v>
      </c>
      <c r="F24" s="1" t="s">
        <v>1175</v>
      </c>
    </row>
    <row r="25" spans="1:6" ht="20" customHeight="1">
      <c r="A25" s="84" t="s">
        <v>1176</v>
      </c>
      <c r="B25" s="83"/>
      <c r="C25" s="83"/>
      <c r="D25" s="83"/>
      <c r="E25" s="83"/>
      <c r="F25" s="83"/>
    </row>
    <row r="26" spans="1:6" ht="90">
      <c r="A26" s="54" t="s">
        <v>1177</v>
      </c>
      <c r="B26" s="58" t="s">
        <v>1178</v>
      </c>
      <c r="C26" s="58" t="s">
        <v>1179</v>
      </c>
      <c r="D26" s="54" t="s">
        <v>1117</v>
      </c>
      <c r="E26" s="54" t="s">
        <v>662</v>
      </c>
      <c r="F26" s="58" t="s">
        <v>1180</v>
      </c>
    </row>
    <row r="27" spans="1:6" ht="60">
      <c r="A27" s="2" t="s">
        <v>1181</v>
      </c>
      <c r="B27" s="1" t="s">
        <v>1182</v>
      </c>
      <c r="C27" s="1" t="s">
        <v>1183</v>
      </c>
      <c r="D27" s="2" t="s">
        <v>1184</v>
      </c>
      <c r="E27" s="2" t="s">
        <v>662</v>
      </c>
      <c r="F27" s="1" t="s">
        <v>1185</v>
      </c>
    </row>
    <row r="28" spans="1:6" ht="90">
      <c r="A28" s="2" t="s">
        <v>1186</v>
      </c>
      <c r="B28" s="1" t="s">
        <v>1187</v>
      </c>
      <c r="C28" s="1" t="s">
        <v>1188</v>
      </c>
      <c r="D28" s="2" t="s">
        <v>98</v>
      </c>
      <c r="E28" s="2" t="s">
        <v>662</v>
      </c>
      <c r="F28" s="1" t="s">
        <v>1189</v>
      </c>
    </row>
    <row r="29" spans="1:6" ht="60">
      <c r="A29" s="2" t="s">
        <v>1190</v>
      </c>
      <c r="B29" s="1" t="s">
        <v>1191</v>
      </c>
      <c r="C29" s="1" t="s">
        <v>1192</v>
      </c>
      <c r="D29" s="2" t="s">
        <v>90</v>
      </c>
      <c r="E29" s="2" t="s">
        <v>160</v>
      </c>
      <c r="F29" s="1" t="s">
        <v>1193</v>
      </c>
    </row>
    <row r="30" spans="1:6" ht="20" customHeight="1">
      <c r="A30" s="84" t="s">
        <v>1194</v>
      </c>
      <c r="B30" s="83"/>
      <c r="C30" s="83"/>
      <c r="D30" s="83"/>
      <c r="E30" s="83"/>
      <c r="F30" s="83"/>
    </row>
    <row r="31" spans="1:6" ht="75">
      <c r="A31" s="54" t="s">
        <v>1195</v>
      </c>
      <c r="B31" s="58" t="s">
        <v>1196</v>
      </c>
      <c r="C31" s="58" t="s">
        <v>1197</v>
      </c>
      <c r="D31" s="54" t="s">
        <v>1198</v>
      </c>
      <c r="E31" s="54" t="s">
        <v>716</v>
      </c>
      <c r="F31" s="58" t="s">
        <v>1199</v>
      </c>
    </row>
    <row r="32" spans="1:6" ht="60">
      <c r="A32" s="54" t="s">
        <v>1200</v>
      </c>
      <c r="B32" s="58" t="s">
        <v>1201</v>
      </c>
      <c r="C32" s="58" t="s">
        <v>1202</v>
      </c>
      <c r="D32" s="54" t="s">
        <v>1203</v>
      </c>
      <c r="E32" s="54" t="s">
        <v>1204</v>
      </c>
      <c r="F32" s="58" t="s">
        <v>1205</v>
      </c>
    </row>
    <row r="33" spans="1:6" ht="20" customHeight="1">
      <c r="A33" s="84" t="s">
        <v>1206</v>
      </c>
      <c r="B33" s="83"/>
      <c r="C33" s="83"/>
      <c r="D33" s="83"/>
      <c r="E33" s="83"/>
      <c r="F33" s="83"/>
    </row>
    <row r="34" spans="1:6" ht="75">
      <c r="A34" s="2" t="s">
        <v>1207</v>
      </c>
      <c r="B34" s="1" t="s">
        <v>1208</v>
      </c>
      <c r="C34" s="1" t="s">
        <v>1209</v>
      </c>
      <c r="D34" s="2" t="s">
        <v>90</v>
      </c>
      <c r="E34" s="2" t="s">
        <v>662</v>
      </c>
      <c r="F34" s="1" t="s">
        <v>1210</v>
      </c>
    </row>
    <row r="35" spans="1:6" ht="75">
      <c r="A35" s="54" t="s">
        <v>1211</v>
      </c>
      <c r="B35" s="58" t="s">
        <v>1212</v>
      </c>
      <c r="C35" s="58" t="s">
        <v>1213</v>
      </c>
      <c r="D35" s="54" t="s">
        <v>90</v>
      </c>
      <c r="E35" s="54" t="s">
        <v>160</v>
      </c>
      <c r="F35" s="58" t="s">
        <v>1214</v>
      </c>
    </row>
    <row r="36" spans="1:6" ht="20" customHeight="1">
      <c r="A36" s="84" t="s">
        <v>1215</v>
      </c>
      <c r="B36" s="83"/>
      <c r="C36" s="83"/>
      <c r="D36" s="83"/>
      <c r="E36" s="83"/>
      <c r="F36" s="83"/>
    </row>
    <row r="37" spans="1:6" ht="75">
      <c r="A37" s="54" t="s">
        <v>1216</v>
      </c>
      <c r="B37" s="58" t="s">
        <v>1217</v>
      </c>
      <c r="C37" s="58" t="s">
        <v>1218</v>
      </c>
      <c r="D37" s="54" t="s">
        <v>1117</v>
      </c>
      <c r="E37" s="54" t="s">
        <v>1219</v>
      </c>
      <c r="F37" s="58" t="s">
        <v>1220</v>
      </c>
    </row>
    <row r="38" spans="1:6" ht="45">
      <c r="A38" s="54" t="s">
        <v>1221</v>
      </c>
      <c r="B38" s="58" t="s">
        <v>1222</v>
      </c>
      <c r="C38" s="58" t="s">
        <v>1223</v>
      </c>
      <c r="D38" s="54" t="s">
        <v>1117</v>
      </c>
      <c r="E38" s="54" t="s">
        <v>1118</v>
      </c>
      <c r="F38" s="58" t="s">
        <v>1224</v>
      </c>
    </row>
    <row r="39" spans="1:6" ht="45">
      <c r="A39" s="2" t="s">
        <v>1225</v>
      </c>
      <c r="B39" s="1" t="s">
        <v>1226</v>
      </c>
      <c r="C39" s="1" t="s">
        <v>1227</v>
      </c>
      <c r="D39" s="2" t="s">
        <v>147</v>
      </c>
      <c r="E39" s="2" t="s">
        <v>147</v>
      </c>
      <c r="F39" s="1" t="s">
        <v>1228</v>
      </c>
    </row>
  </sheetData>
  <mergeCells count="11">
    <mergeCell ref="A2:F2"/>
    <mergeCell ref="A33:F33"/>
    <mergeCell ref="A36:F36"/>
    <mergeCell ref="A14:F14"/>
    <mergeCell ref="A1:F1"/>
    <mergeCell ref="A8:F8"/>
    <mergeCell ref="A22:F22"/>
    <mergeCell ref="A18:F18"/>
    <mergeCell ref="A4:F4"/>
    <mergeCell ref="A30:F30"/>
    <mergeCell ref="A25:F25"/>
  </mergeCells>
  <phoneticPr fontId="6"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G35"/>
  <sheetViews>
    <sheetView showGridLines="0" workbookViewId="0"/>
  </sheetViews>
  <sheetFormatPr baseColWidth="10" defaultColWidth="8.83203125" defaultRowHeight="14"/>
  <cols>
    <col min="1" max="1" width="8" customWidth="1"/>
    <col min="2" max="2" width="40" customWidth="1"/>
    <col min="3" max="3" width="15" customWidth="1"/>
    <col min="4" max="4" width="46" customWidth="1"/>
    <col min="5" max="5" width="50" customWidth="1"/>
    <col min="6" max="6" width="44" customWidth="1"/>
    <col min="7" max="7" width="10" customWidth="1"/>
  </cols>
  <sheetData>
    <row r="1" spans="1:7" ht="26" customHeight="1">
      <c r="A1" s="89" t="s">
        <v>1229</v>
      </c>
      <c r="B1" s="83"/>
      <c r="C1" s="83"/>
      <c r="D1" s="83"/>
      <c r="E1" s="83"/>
      <c r="F1" s="83"/>
      <c r="G1" s="83"/>
    </row>
    <row r="2" spans="1:7" ht="26" customHeight="1">
      <c r="A2" s="87" t="s">
        <v>1230</v>
      </c>
      <c r="B2" s="83"/>
      <c r="C2" s="83"/>
      <c r="D2" s="83"/>
      <c r="E2" s="83"/>
      <c r="F2" s="83"/>
      <c r="G2" s="83"/>
    </row>
    <row r="3" spans="1:7" ht="30" customHeight="1">
      <c r="A3" s="4" t="s">
        <v>1101</v>
      </c>
      <c r="B3" s="4" t="s">
        <v>1231</v>
      </c>
      <c r="C3" s="4" t="s">
        <v>1232</v>
      </c>
      <c r="D3" s="4" t="s">
        <v>1233</v>
      </c>
      <c r="E3" s="4" t="s">
        <v>1234</v>
      </c>
      <c r="F3" s="4" t="s">
        <v>1235</v>
      </c>
      <c r="G3" s="4" t="s">
        <v>1236</v>
      </c>
    </row>
    <row r="4" spans="1:7" ht="120">
      <c r="A4" s="54" t="s">
        <v>1237</v>
      </c>
      <c r="B4" s="58" t="s">
        <v>1238</v>
      </c>
      <c r="C4" s="54" t="s">
        <v>1239</v>
      </c>
      <c r="D4" s="58" t="s">
        <v>1240</v>
      </c>
      <c r="E4" s="58" t="s">
        <v>1241</v>
      </c>
      <c r="F4" s="58" t="s">
        <v>1242</v>
      </c>
      <c r="G4" s="54" t="s">
        <v>1243</v>
      </c>
    </row>
    <row r="5" spans="1:7" ht="60">
      <c r="A5" s="54" t="s">
        <v>1244</v>
      </c>
      <c r="B5" s="58" t="s">
        <v>1245</v>
      </c>
      <c r="C5" s="54" t="s">
        <v>156</v>
      </c>
      <c r="D5" s="58" t="s">
        <v>1246</v>
      </c>
      <c r="E5" s="58" t="s">
        <v>1247</v>
      </c>
      <c r="F5" s="58" t="s">
        <v>1248</v>
      </c>
      <c r="G5" s="54" t="s">
        <v>1243</v>
      </c>
    </row>
    <row r="6" spans="1:7" ht="75">
      <c r="A6" s="54" t="s">
        <v>1249</v>
      </c>
      <c r="B6" s="58" t="s">
        <v>1250</v>
      </c>
      <c r="C6" s="54" t="s">
        <v>1251</v>
      </c>
      <c r="D6" s="58" t="s">
        <v>1252</v>
      </c>
      <c r="E6" s="58" t="s">
        <v>1253</v>
      </c>
      <c r="F6" s="58" t="s">
        <v>1254</v>
      </c>
      <c r="G6" s="54" t="s">
        <v>1243</v>
      </c>
    </row>
    <row r="7" spans="1:7" ht="90">
      <c r="A7" s="54" t="s">
        <v>1255</v>
      </c>
      <c r="B7" s="58" t="s">
        <v>1256</v>
      </c>
      <c r="C7" s="54" t="s">
        <v>1257</v>
      </c>
      <c r="D7" s="58" t="s">
        <v>1258</v>
      </c>
      <c r="E7" s="58" t="s">
        <v>1259</v>
      </c>
      <c r="F7" s="58" t="s">
        <v>1260</v>
      </c>
      <c r="G7" s="54" t="s">
        <v>1243</v>
      </c>
    </row>
    <row r="8" spans="1:7" ht="60">
      <c r="A8" s="54" t="s">
        <v>1261</v>
      </c>
      <c r="B8" s="58" t="s">
        <v>1262</v>
      </c>
      <c r="C8" s="54" t="s">
        <v>1263</v>
      </c>
      <c r="D8" s="58" t="s">
        <v>1264</v>
      </c>
      <c r="E8" s="58" t="s">
        <v>1265</v>
      </c>
      <c r="F8" s="58" t="s">
        <v>1266</v>
      </c>
      <c r="G8" s="54" t="s">
        <v>1243</v>
      </c>
    </row>
    <row r="9" spans="1:7" ht="75">
      <c r="A9" s="54" t="s">
        <v>1267</v>
      </c>
      <c r="B9" s="58" t="s">
        <v>1268</v>
      </c>
      <c r="C9" s="54" t="s">
        <v>1269</v>
      </c>
      <c r="D9" s="58" t="s">
        <v>1270</v>
      </c>
      <c r="E9" s="58" t="s">
        <v>1271</v>
      </c>
      <c r="F9" s="58" t="s">
        <v>1272</v>
      </c>
      <c r="G9" s="54" t="s">
        <v>1243</v>
      </c>
    </row>
    <row r="10" spans="1:7" ht="60">
      <c r="A10" s="80" t="s">
        <v>1273</v>
      </c>
      <c r="B10" s="81" t="s">
        <v>1274</v>
      </c>
      <c r="C10" s="80" t="s">
        <v>761</v>
      </c>
      <c r="D10" s="81" t="s">
        <v>1275</v>
      </c>
      <c r="E10" s="81" t="s">
        <v>1276</v>
      </c>
      <c r="F10" s="81" t="s">
        <v>1277</v>
      </c>
      <c r="G10" s="80" t="s">
        <v>1278</v>
      </c>
    </row>
    <row r="11" spans="1:7" ht="60">
      <c r="A11" s="80" t="s">
        <v>1279</v>
      </c>
      <c r="B11" s="81" t="s">
        <v>1280</v>
      </c>
      <c r="C11" s="80" t="s">
        <v>1281</v>
      </c>
      <c r="D11" s="81" t="s">
        <v>1282</v>
      </c>
      <c r="E11" s="81" t="s">
        <v>1283</v>
      </c>
      <c r="F11" s="81" t="s">
        <v>1284</v>
      </c>
      <c r="G11" s="80" t="s">
        <v>1278</v>
      </c>
    </row>
    <row r="12" spans="1:7" ht="60">
      <c r="A12" s="80" t="s">
        <v>1285</v>
      </c>
      <c r="B12" s="81" t="s">
        <v>1286</v>
      </c>
      <c r="C12" s="80" t="s">
        <v>1287</v>
      </c>
      <c r="D12" s="81" t="s">
        <v>1288</v>
      </c>
      <c r="E12" s="81" t="s">
        <v>1289</v>
      </c>
      <c r="F12" s="81" t="s">
        <v>1290</v>
      </c>
      <c r="G12" s="80" t="s">
        <v>1278</v>
      </c>
    </row>
    <row r="13" spans="1:7" ht="60">
      <c r="A13" s="80" t="s">
        <v>1291</v>
      </c>
      <c r="B13" s="81" t="s">
        <v>1292</v>
      </c>
      <c r="C13" s="80" t="s">
        <v>1239</v>
      </c>
      <c r="D13" s="81" t="s">
        <v>1293</v>
      </c>
      <c r="E13" s="81" t="s">
        <v>1294</v>
      </c>
      <c r="F13" s="81" t="s">
        <v>1295</v>
      </c>
      <c r="G13" s="80" t="s">
        <v>1278</v>
      </c>
    </row>
    <row r="14" spans="1:7" ht="60">
      <c r="A14" s="80" t="s">
        <v>1296</v>
      </c>
      <c r="B14" s="81" t="s">
        <v>1297</v>
      </c>
      <c r="C14" s="80" t="s">
        <v>761</v>
      </c>
      <c r="D14" s="81" t="s">
        <v>1298</v>
      </c>
      <c r="E14" s="81" t="s">
        <v>1299</v>
      </c>
      <c r="F14" s="81" t="s">
        <v>1300</v>
      </c>
      <c r="G14" s="80" t="s">
        <v>1278</v>
      </c>
    </row>
    <row r="15" spans="1:7" ht="75">
      <c r="A15" s="80" t="s">
        <v>1301</v>
      </c>
      <c r="B15" s="81" t="s">
        <v>1302</v>
      </c>
      <c r="C15" s="80" t="s">
        <v>1303</v>
      </c>
      <c r="D15" s="81" t="s">
        <v>1304</v>
      </c>
      <c r="E15" s="81" t="s">
        <v>1305</v>
      </c>
      <c r="F15" s="81" t="s">
        <v>1306</v>
      </c>
      <c r="G15" s="80" t="s">
        <v>1278</v>
      </c>
    </row>
    <row r="16" spans="1:7" ht="75">
      <c r="A16" s="80" t="s">
        <v>1307</v>
      </c>
      <c r="B16" s="81" t="s">
        <v>1308</v>
      </c>
      <c r="C16" s="80" t="s">
        <v>761</v>
      </c>
      <c r="D16" s="81" t="s">
        <v>1309</v>
      </c>
      <c r="E16" s="81" t="s">
        <v>1310</v>
      </c>
      <c r="F16" s="81" t="s">
        <v>1311</v>
      </c>
      <c r="G16" s="80" t="s">
        <v>1278</v>
      </c>
    </row>
    <row r="17" spans="1:7" ht="60">
      <c r="A17" s="80" t="s">
        <v>1312</v>
      </c>
      <c r="B17" s="81" t="s">
        <v>1313</v>
      </c>
      <c r="C17" s="80" t="s">
        <v>1314</v>
      </c>
      <c r="D17" s="81" t="s">
        <v>1315</v>
      </c>
      <c r="E17" s="81" t="s">
        <v>1316</v>
      </c>
      <c r="F17" s="81" t="s">
        <v>1317</v>
      </c>
      <c r="G17" s="80" t="s">
        <v>1278</v>
      </c>
    </row>
    <row r="18" spans="1:7" ht="75">
      <c r="A18" s="80" t="s">
        <v>1318</v>
      </c>
      <c r="B18" s="81" t="s">
        <v>1319</v>
      </c>
      <c r="C18" s="80" t="s">
        <v>761</v>
      </c>
      <c r="D18" s="81" t="s">
        <v>1320</v>
      </c>
      <c r="E18" s="81" t="s">
        <v>1321</v>
      </c>
      <c r="F18" s="81" t="s">
        <v>1322</v>
      </c>
      <c r="G18" s="80" t="s">
        <v>1278</v>
      </c>
    </row>
    <row r="19" spans="1:7" ht="60">
      <c r="A19" s="80" t="s">
        <v>1323</v>
      </c>
      <c r="B19" s="81" t="s">
        <v>1324</v>
      </c>
      <c r="C19" s="80" t="s">
        <v>1325</v>
      </c>
      <c r="D19" s="81" t="s">
        <v>1326</v>
      </c>
      <c r="E19" s="81" t="s">
        <v>1327</v>
      </c>
      <c r="F19" s="81" t="s">
        <v>1328</v>
      </c>
      <c r="G19" s="80" t="s">
        <v>1278</v>
      </c>
    </row>
    <row r="20" spans="1:7" ht="75">
      <c r="A20" s="2" t="s">
        <v>1329</v>
      </c>
      <c r="B20" s="1" t="s">
        <v>1330</v>
      </c>
      <c r="C20" s="2" t="s">
        <v>1331</v>
      </c>
      <c r="D20" s="1" t="s">
        <v>1332</v>
      </c>
      <c r="E20" s="1" t="s">
        <v>1333</v>
      </c>
      <c r="F20" s="1" t="s">
        <v>1334</v>
      </c>
      <c r="G20" s="2" t="s">
        <v>1335</v>
      </c>
    </row>
    <row r="21" spans="1:7" ht="45">
      <c r="A21" s="2" t="s">
        <v>1336</v>
      </c>
      <c r="B21" s="1" t="s">
        <v>1337</v>
      </c>
      <c r="C21" s="2" t="s">
        <v>1338</v>
      </c>
      <c r="D21" s="1" t="s">
        <v>1339</v>
      </c>
      <c r="E21" s="1" t="s">
        <v>1340</v>
      </c>
      <c r="F21" s="1" t="s">
        <v>1341</v>
      </c>
      <c r="G21" s="2" t="s">
        <v>1335</v>
      </c>
    </row>
    <row r="23" spans="1:7" ht="26" customHeight="1">
      <c r="A23" s="87" t="s">
        <v>1342</v>
      </c>
      <c r="B23" s="83"/>
      <c r="C23" s="83"/>
      <c r="D23" s="83"/>
      <c r="E23" s="83"/>
      <c r="F23" s="83"/>
      <c r="G23" s="83"/>
    </row>
    <row r="25" spans="1:7" ht="20" customHeight="1">
      <c r="A25" s="84" t="s">
        <v>1343</v>
      </c>
      <c r="B25" s="83"/>
      <c r="C25" s="83"/>
      <c r="D25" s="83"/>
      <c r="E25" s="83"/>
      <c r="F25" s="83"/>
      <c r="G25" s="83"/>
    </row>
    <row r="26" spans="1:7">
      <c r="A26" s="93" t="s">
        <v>1344</v>
      </c>
      <c r="B26" s="91"/>
      <c r="C26" s="91"/>
      <c r="D26" s="91"/>
      <c r="E26" s="91"/>
      <c r="F26" s="91"/>
      <c r="G26" s="92"/>
    </row>
    <row r="27" spans="1:7">
      <c r="A27" s="93" t="s">
        <v>1345</v>
      </c>
      <c r="B27" s="91"/>
      <c r="C27" s="91"/>
      <c r="D27" s="91"/>
      <c r="E27" s="91"/>
      <c r="F27" s="91"/>
      <c r="G27" s="92"/>
    </row>
    <row r="28" spans="1:7">
      <c r="A28" s="93" t="s">
        <v>1346</v>
      </c>
      <c r="B28" s="91"/>
      <c r="C28" s="91"/>
      <c r="D28" s="91"/>
      <c r="E28" s="91"/>
      <c r="F28" s="91"/>
      <c r="G28" s="92"/>
    </row>
    <row r="29" spans="1:7">
      <c r="A29" s="93" t="s">
        <v>1347</v>
      </c>
      <c r="B29" s="91"/>
      <c r="C29" s="91"/>
      <c r="D29" s="91"/>
      <c r="E29" s="91"/>
      <c r="F29" s="91"/>
      <c r="G29" s="92"/>
    </row>
    <row r="30" spans="1:7">
      <c r="A30" s="93" t="s">
        <v>1348</v>
      </c>
      <c r="B30" s="91"/>
      <c r="C30" s="91"/>
      <c r="D30" s="91"/>
      <c r="E30" s="91"/>
      <c r="F30" s="91"/>
      <c r="G30" s="92"/>
    </row>
    <row r="31" spans="1:7">
      <c r="A31" s="93" t="s">
        <v>1349</v>
      </c>
      <c r="B31" s="91"/>
      <c r="C31" s="91"/>
      <c r="D31" s="91"/>
      <c r="E31" s="91"/>
      <c r="F31" s="91"/>
      <c r="G31" s="92"/>
    </row>
    <row r="32" spans="1:7">
      <c r="A32" s="93" t="s">
        <v>1350</v>
      </c>
      <c r="B32" s="91"/>
      <c r="C32" s="91"/>
      <c r="D32" s="91"/>
      <c r="E32" s="91"/>
      <c r="F32" s="91"/>
      <c r="G32" s="92"/>
    </row>
    <row r="33" spans="1:7">
      <c r="A33" s="93" t="s">
        <v>1351</v>
      </c>
      <c r="B33" s="91"/>
      <c r="C33" s="91"/>
      <c r="D33" s="91"/>
      <c r="E33" s="91"/>
      <c r="F33" s="91"/>
      <c r="G33" s="92"/>
    </row>
    <row r="35" spans="1:7" ht="15" customHeight="1">
      <c r="A35" s="85" t="s">
        <v>1352</v>
      </c>
      <c r="B35" s="83"/>
      <c r="C35" s="83"/>
      <c r="D35" s="83"/>
      <c r="E35" s="83"/>
      <c r="F35" s="83"/>
      <c r="G35" s="83"/>
    </row>
  </sheetData>
  <mergeCells count="13">
    <mergeCell ref="A32:G32"/>
    <mergeCell ref="A1:G1"/>
    <mergeCell ref="A27:G27"/>
    <mergeCell ref="A31:G31"/>
    <mergeCell ref="A35:G35"/>
    <mergeCell ref="A26:G26"/>
    <mergeCell ref="A30:G30"/>
    <mergeCell ref="A2:G2"/>
    <mergeCell ref="A29:G29"/>
    <mergeCell ref="A25:G25"/>
    <mergeCell ref="A33:G33"/>
    <mergeCell ref="A28:G28"/>
    <mergeCell ref="A23:G23"/>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00_封面与口径</vt:lpstr>
      <vt:lpstr>01_资料来源</vt:lpstr>
      <vt:lpstr>02_发行上市原始数据</vt:lpstr>
      <vt:lpstr>03_财务原始数据</vt:lpstr>
      <vt:lpstr>04_业务结构原始数据</vt:lpstr>
      <vt:lpstr>05_客户与同业原始数据</vt:lpstr>
      <vt:lpstr>06_股权与募投原始数据</vt:lpstr>
      <vt:lpstr>07_核心计算</vt:lpstr>
      <vt:lpstr>08_趋势图表</vt:lpstr>
      <vt:lpstr>09_分析结论</vt:lpstr>
      <vt:lpstr>10_待人工核验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蘑菇 蘑菇</cp:lastModifiedBy>
  <dcterms:created xsi:type="dcterms:W3CDTF">2026-09-03T17:18:48Z</dcterms:created>
  <dcterms:modified xsi:type="dcterms:W3CDTF">2026-09-04T09:18:37Z</dcterms:modified>
</cp:coreProperties>
</file>
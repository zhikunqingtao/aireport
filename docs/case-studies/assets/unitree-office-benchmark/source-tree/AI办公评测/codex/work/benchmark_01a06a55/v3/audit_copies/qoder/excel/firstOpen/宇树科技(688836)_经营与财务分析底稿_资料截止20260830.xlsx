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与口径" sheetId="1" state="visible" r:id="rId1"/>
    <sheet xmlns:r="http://schemas.openxmlformats.org/officeDocument/2006/relationships" name="01_资料来源" sheetId="2" state="visible" r:id="rId2"/>
    <sheet xmlns:r="http://schemas.openxmlformats.org/officeDocument/2006/relationships" name="02_发行上市原始数据" sheetId="3" state="visible" r:id="rId3"/>
    <sheet xmlns:r="http://schemas.openxmlformats.org/officeDocument/2006/relationships" name="03_财务原始数据" sheetId="4" state="visible" r:id="rId4"/>
    <sheet xmlns:r="http://schemas.openxmlformats.org/officeDocument/2006/relationships" name="04_业务结构原始数据" sheetId="5" state="visible" r:id="rId5"/>
    <sheet xmlns:r="http://schemas.openxmlformats.org/officeDocument/2006/relationships" name="05_客户与同业原始数据" sheetId="6" state="visible" r:id="rId6"/>
    <sheet xmlns:r="http://schemas.openxmlformats.org/officeDocument/2006/relationships" name="06_股权与募投原始数据" sheetId="7" state="visible" r:id="rId7"/>
    <sheet xmlns:r="http://schemas.openxmlformats.org/officeDocument/2006/relationships" name="07_核心计算" sheetId="8" state="visible" r:id="rId8"/>
    <sheet xmlns:r="http://schemas.openxmlformats.org/officeDocument/2006/relationships" name="08_趋势图表" sheetId="9" state="visible" r:id="rId9"/>
    <sheet xmlns:r="http://schemas.openxmlformats.org/officeDocument/2006/relationships" name="09_分析结论" sheetId="10" state="visible" r:id="rId10"/>
    <sheet xmlns:r="http://schemas.openxmlformats.org/officeDocument/2006/relationships" name="10_待人工核验" sheetId="11" state="visible" r:id="rId11"/>
  </sheets>
  <definedNames/>
  <calcPr calcId="124519" fullCalcOnLoad="1"/>
</workbook>
</file>

<file path=xl/styles.xml><?xml version="1.0" encoding="utf-8"?>
<styleSheet xmlns="http://schemas.openxmlformats.org/spreadsheetml/2006/main">
  <numFmts count="6">
    <numFmt numFmtId="164" formatCode="#,##0.00&quot;元&quot;"/>
    <numFmt numFmtId="165" formatCode="#,##0.0000"/>
    <numFmt numFmtId="166" formatCode="0.0000%"/>
    <numFmt numFmtId="167" formatCode="0.0%"/>
    <numFmt numFmtId="168" formatCode="0.000%"/>
    <numFmt numFmtId="169" formatCode="0.00&quot;倍&quot;"/>
  </numFmts>
  <fonts count="6">
    <font>
      <name val="Calibri"/>
      <family val="2"/>
      <color theme="1"/>
      <sz val="11"/>
      <scheme val="minor"/>
    </font>
    <font>
      <b val="1"/>
      <color rgb="00FFFFFF"/>
      <sz val="15"/>
    </font>
    <font>
      <color rgb="00595959"/>
      <sz val="9"/>
    </font>
    <font>
      <b val="1"/>
      <color rgb="00FFFFFF"/>
      <sz val="11"/>
    </font>
    <font>
      <sz val="10"/>
    </font>
    <font>
      <b val="1"/>
      <sz val="10"/>
    </font>
  </fonts>
  <fills count="10">
    <fill>
      <patternFill/>
    </fill>
    <fill>
      <patternFill patternType="gray125"/>
    </fill>
    <fill>
      <patternFill patternType="solid">
        <fgColor rgb="001F3864"/>
      </patternFill>
    </fill>
    <fill>
      <patternFill patternType="solid">
        <fgColor rgb="00E2EFDA"/>
      </patternFill>
    </fill>
    <fill>
      <patternFill patternType="solid">
        <fgColor rgb="002E5C8A"/>
      </patternFill>
    </fill>
    <fill>
      <patternFill patternType="solid">
        <fgColor rgb="00D9E2F3"/>
      </patternFill>
    </fill>
    <fill>
      <patternFill patternType="solid">
        <fgColor rgb="00FCE4D6"/>
      </patternFill>
    </fill>
    <fill>
      <patternFill patternType="solid">
        <fgColor rgb="00FFF2CC"/>
      </patternFill>
    </fill>
    <fill>
      <patternFill patternType="solid">
        <fgColor rgb="00F2F2F2"/>
      </patternFill>
    </fill>
    <fill>
      <patternFill patternType="solid">
        <fgColor rgb="00C000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3" fillId="4" borderId="0" pivotButton="0" quotePrefix="0" xfId="0"/>
    <xf numFmtId="0" fontId="4" fillId="0" borderId="1" applyAlignment="1" pivotButton="0" quotePrefix="0" xfId="0">
      <alignment vertical="top" wrapText="1"/>
    </xf>
    <xf numFmtId="0" fontId="4" fillId="0" borderId="1" applyAlignment="1" pivotButton="0" quotePrefix="0" xfId="0">
      <alignment vertical="center" wrapText="1"/>
    </xf>
    <xf numFmtId="0" fontId="2" fillId="0" borderId="1" applyAlignment="1" pivotButton="0" quotePrefix="0" xfId="0">
      <alignment vertical="top" wrapText="1"/>
    </xf>
    <xf numFmtId="0" fontId="5" fillId="5" borderId="1" applyAlignment="1" pivotButton="0" quotePrefix="0" xfId="0">
      <alignment horizontal="center" vertical="center" wrapText="1"/>
    </xf>
    <xf numFmtId="0" fontId="2" fillId="6" borderId="0" applyAlignment="1" pivotButton="0" quotePrefix="0" xfId="0">
      <alignment vertical="top" wrapText="1"/>
    </xf>
    <xf numFmtId="0" fontId="2" fillId="7" borderId="0" applyAlignment="1" pivotButton="0" quotePrefix="0" xfId="0">
      <alignment vertical="top" wrapText="1"/>
    </xf>
    <xf numFmtId="0" fontId="4" fillId="8" borderId="1" applyAlignment="1" pivotButton="0" quotePrefix="0" xfId="0">
      <alignment vertical="center" wrapText="1"/>
    </xf>
    <xf numFmtId="0" fontId="4" fillId="8" borderId="1" applyAlignment="1" pivotButton="0" quotePrefix="0" xfId="0">
      <alignment vertical="top" wrapText="1"/>
    </xf>
    <xf numFmtId="4" fontId="4" fillId="0" borderId="1" applyAlignment="1" pivotButton="0" quotePrefix="0" xfId="0">
      <alignment horizontal="right" vertical="center"/>
    </xf>
    <xf numFmtId="3" fontId="4" fillId="0" borderId="1" applyAlignment="1" pivotButton="0" quotePrefix="0" xfId="0">
      <alignment horizontal="right" vertical="center"/>
    </xf>
    <xf numFmtId="10" fontId="4" fillId="0" borderId="1" applyAlignment="1" pivotButton="0" quotePrefix="0" xfId="0">
      <alignment horizontal="right" vertical="center"/>
    </xf>
    <xf numFmtId="0" fontId="3" fillId="4" borderId="0" applyAlignment="1" pivotButton="0" quotePrefix="0" xfId="0">
      <alignment horizontal="left" vertical="center"/>
    </xf>
    <xf numFmtId="164" fontId="4" fillId="0" borderId="1" applyAlignment="1" pivotButton="0" quotePrefix="0" xfId="0">
      <alignment horizontal="right" vertical="center"/>
    </xf>
    <xf numFmtId="0" fontId="4" fillId="0" borderId="1" applyAlignment="1" pivotButton="0" quotePrefix="0" xfId="0">
      <alignment vertical="center"/>
    </xf>
    <xf numFmtId="4" fontId="4" fillId="0" borderId="1" applyAlignment="1" pivotButton="0" quotePrefix="0" xfId="0">
      <alignment vertical="center"/>
    </xf>
    <xf numFmtId="3" fontId="4" fillId="0" borderId="1" applyAlignment="1" pivotButton="0" quotePrefix="0" xfId="0">
      <alignment vertical="center"/>
    </xf>
    <xf numFmtId="10" fontId="4" fillId="0" borderId="1" applyAlignment="1" pivotButton="0" quotePrefix="0" xfId="0">
      <alignment vertical="center"/>
    </xf>
    <xf numFmtId="0" fontId="1" fillId="9" borderId="0" applyAlignment="1" pivotButton="0" quotePrefix="0" xfId="0">
      <alignment horizontal="left" vertical="center"/>
    </xf>
    <xf numFmtId="0" fontId="4" fillId="6" borderId="1" applyAlignment="1" pivotButton="0" quotePrefix="0" xfId="0">
      <alignment vertical="center" wrapText="1"/>
    </xf>
    <xf numFmtId="0" fontId="4" fillId="6" borderId="1" applyAlignment="1" pivotButton="0" quotePrefix="0" xfId="0">
      <alignment vertical="center"/>
    </xf>
    <xf numFmtId="4" fontId="4" fillId="6" borderId="1" applyAlignment="1" pivotButton="0" quotePrefix="0" xfId="0">
      <alignment horizontal="right" vertical="center"/>
    </xf>
    <xf numFmtId="0" fontId="5" fillId="5" borderId="1" applyAlignment="1" pivotButton="0" quotePrefix="0" xfId="0">
      <alignment vertical="center" wrapText="1"/>
    </xf>
    <xf numFmtId="4" fontId="5" fillId="5" borderId="1" applyAlignment="1" pivotButton="0" quotePrefix="0" xfId="0">
      <alignment horizontal="right" vertical="center"/>
    </xf>
    <xf numFmtId="10" fontId="5" fillId="5" borderId="1" applyAlignment="1" pivotButton="0" quotePrefix="0" xfId="0">
      <alignment horizontal="right" vertical="center"/>
    </xf>
    <xf numFmtId="0" fontId="4" fillId="0" borderId="1" applyAlignment="1" pivotButton="0" quotePrefix="0" xfId="0">
      <alignment horizontal="right" vertical="center"/>
    </xf>
    <xf numFmtId="3" fontId="5" fillId="5" borderId="1" applyAlignment="1" pivotButton="0" quotePrefix="0" xfId="0">
      <alignment horizontal="right" vertical="center"/>
    </xf>
    <xf numFmtId="3" fontId="5" fillId="7" borderId="1" applyAlignment="1" pivotButton="0" quotePrefix="0" xfId="0">
      <alignment horizontal="right" vertical="center"/>
    </xf>
    <xf numFmtId="0" fontId="5" fillId="7" borderId="1" applyAlignment="1" pivotButton="0" quotePrefix="0" xfId="0">
      <alignment vertical="center" wrapText="1"/>
    </xf>
    <xf numFmtId="165" fontId="5" fillId="7" borderId="1" applyAlignment="1" pivotButton="0" quotePrefix="0" xfId="0">
      <alignment horizontal="right" vertical="center"/>
    </xf>
    <xf numFmtId="166" fontId="5" fillId="7" borderId="1" applyAlignment="1" pivotButton="0" quotePrefix="0" xfId="0">
      <alignment horizontal="right" vertical="center"/>
    </xf>
    <xf numFmtId="165" fontId="4" fillId="0" borderId="1" applyAlignment="1" pivotButton="0" quotePrefix="0" xfId="0">
      <alignment horizontal="right" vertical="center"/>
    </xf>
    <xf numFmtId="166" fontId="4" fillId="0" borderId="1" applyAlignment="1" pivotButton="0" quotePrefix="0" xfId="0">
      <alignment horizontal="right" vertical="center"/>
    </xf>
    <xf numFmtId="3" fontId="4" fillId="3" borderId="1" applyAlignment="1" pivotButton="0" quotePrefix="0" xfId="0">
      <alignment horizontal="right" vertical="center"/>
    </xf>
    <xf numFmtId="0" fontId="4" fillId="3" borderId="1" applyAlignment="1" pivotButton="0" quotePrefix="0" xfId="0">
      <alignment vertical="center" wrapText="1"/>
    </xf>
    <xf numFmtId="0" fontId="4" fillId="3" borderId="1" applyAlignment="1" pivotButton="0" quotePrefix="0" xfId="0">
      <alignment vertical="center"/>
    </xf>
    <xf numFmtId="165" fontId="4" fillId="3" borderId="1" applyAlignment="1" pivotButton="0" quotePrefix="0" xfId="0">
      <alignment horizontal="right" vertical="center"/>
    </xf>
    <xf numFmtId="166" fontId="4" fillId="3" borderId="1" applyAlignment="1" pivotButton="0" quotePrefix="0" xfId="0">
      <alignment horizontal="right" vertical="center"/>
    </xf>
    <xf numFmtId="165" fontId="5" fillId="5" borderId="1" applyAlignment="1" pivotButton="0" quotePrefix="0" xfId="0">
      <alignment horizontal="right" vertical="center"/>
    </xf>
    <xf numFmtId="166" fontId="5" fillId="5" borderId="1" applyAlignment="1" pivotButton="0" quotePrefix="0" xfId="0">
      <alignment horizontal="right" vertical="center"/>
    </xf>
    <xf numFmtId="0" fontId="5" fillId="0" borderId="1" applyAlignment="1" pivotButton="0" quotePrefix="0" xfId="0">
      <alignment vertical="center" wrapText="1"/>
    </xf>
    <xf numFmtId="0" fontId="0" fillId="0" borderId="4" pivotButton="0" quotePrefix="0" xfId="0"/>
    <xf numFmtId="0" fontId="0" fillId="0" borderId="5" pivotButton="0" quotePrefix="0" xfId="0"/>
    <xf numFmtId="166" fontId="5" fillId="0" borderId="1" applyAlignment="1" pivotButton="0" quotePrefix="0" xfId="0">
      <alignment horizontal="right" vertical="center"/>
    </xf>
    <xf numFmtId="4" fontId="5" fillId="0" borderId="1" applyAlignment="1" pivotButton="0" quotePrefix="0" xfId="0">
      <alignment horizontal="right" vertical="center"/>
    </xf>
    <xf numFmtId="167" fontId="4" fillId="0" borderId="1" applyAlignment="1" pivotButton="0" quotePrefix="0" xfId="0">
      <alignment horizontal="right" vertical="center"/>
    </xf>
    <xf numFmtId="167" fontId="5" fillId="5" borderId="1" applyAlignment="1" pivotButton="0" quotePrefix="0" xfId="0">
      <alignment horizontal="right" vertical="center"/>
    </xf>
    <xf numFmtId="168" fontId="4" fillId="0" borderId="1" applyAlignment="1" pivotButton="0" quotePrefix="0" xfId="0">
      <alignment horizontal="right" vertical="center"/>
    </xf>
    <xf numFmtId="168" fontId="5" fillId="5" borderId="1" applyAlignment="1" pivotButton="0" quotePrefix="0" xfId="0">
      <alignment horizontal="right" vertical="center"/>
    </xf>
    <xf numFmtId="4" fontId="4" fillId="0" borderId="1" applyAlignment="1" pivotButton="0" quotePrefix="0" xfId="0">
      <alignment vertical="center" wrapText="1"/>
    </xf>
    <xf numFmtId="10" fontId="4" fillId="0" borderId="1" applyAlignment="1" pivotButton="0" quotePrefix="0" xfId="0">
      <alignment vertical="center" wrapText="1"/>
    </xf>
    <xf numFmtId="0" fontId="5" fillId="3" borderId="1" applyAlignment="1" pivotButton="0" quotePrefix="0" xfId="0">
      <alignment vertical="center" wrapText="1"/>
    </xf>
    <xf numFmtId="4" fontId="5" fillId="3" borderId="1" applyAlignment="1" pivotButton="0" quotePrefix="0" xfId="0">
      <alignment vertical="center" wrapText="1"/>
    </xf>
    <xf numFmtId="10" fontId="5" fillId="3" borderId="1" applyAlignment="1" pivotButton="0" quotePrefix="0" xfId="0">
      <alignment horizontal="right" vertical="center"/>
    </xf>
    <xf numFmtId="0" fontId="5" fillId="3" borderId="1" applyAlignment="1" pivotButton="0" quotePrefix="0" xfId="0">
      <alignment vertical="top" wrapText="1"/>
    </xf>
    <xf numFmtId="10" fontId="5" fillId="3" borderId="1" applyAlignment="1" pivotButton="0" quotePrefix="0" xfId="0">
      <alignment vertical="center" wrapText="1"/>
    </xf>
    <xf numFmtId="4" fontId="4" fillId="6" borderId="1" applyAlignment="1" pivotButton="0" quotePrefix="0" xfId="0">
      <alignment vertical="center" wrapText="1"/>
    </xf>
    <xf numFmtId="10" fontId="4" fillId="6" borderId="1" applyAlignment="1" pivotButton="0" quotePrefix="0" xfId="0">
      <alignment horizontal="right" vertical="center"/>
    </xf>
    <xf numFmtId="10" fontId="4" fillId="6" borderId="1" applyAlignment="1" pivotButton="0" quotePrefix="0" xfId="0">
      <alignment vertical="center" wrapText="1"/>
    </xf>
    <xf numFmtId="0" fontId="4" fillId="6" borderId="1" applyAlignment="1" pivotButton="0" quotePrefix="0" xfId="0">
      <alignment vertical="top" wrapText="1"/>
    </xf>
    <xf numFmtId="0" fontId="5" fillId="6" borderId="1" applyAlignment="1" pivotButton="0" quotePrefix="0" xfId="0">
      <alignment vertical="center" wrapText="1"/>
    </xf>
    <xf numFmtId="4" fontId="5" fillId="6" borderId="1" applyAlignment="1" pivotButton="0" quotePrefix="0" xfId="0">
      <alignment vertical="center" wrapText="1"/>
    </xf>
    <xf numFmtId="10" fontId="5" fillId="6" borderId="1" applyAlignment="1" pivotButton="0" quotePrefix="0" xfId="0">
      <alignment horizontal="right" vertical="center"/>
    </xf>
    <xf numFmtId="10" fontId="5" fillId="6" borderId="1" applyAlignment="1" pivotButton="0" quotePrefix="0" xfId="0">
      <alignment vertical="center" wrapText="1"/>
    </xf>
    <xf numFmtId="0" fontId="5" fillId="6" borderId="1" applyAlignment="1" pivotButton="0" quotePrefix="0" xfId="0">
      <alignment vertical="top" wrapText="1"/>
    </xf>
    <xf numFmtId="4" fontId="5" fillId="3" borderId="1" applyAlignment="1" pivotButton="0" quotePrefix="0" xfId="0">
      <alignment horizontal="right" vertical="center"/>
    </xf>
    <xf numFmtId="4" fontId="5" fillId="5" borderId="1" applyAlignment="1" pivotButton="0" quotePrefix="0" xfId="0">
      <alignment vertical="center" wrapText="1"/>
    </xf>
    <xf numFmtId="0" fontId="5" fillId="5" borderId="1" applyAlignment="1" pivotButton="0" quotePrefix="0" xfId="0">
      <alignment vertical="top" wrapText="1"/>
    </xf>
    <xf numFmtId="4" fontId="4" fillId="3" borderId="1" applyAlignment="1" pivotButton="0" quotePrefix="0" xfId="0">
      <alignment vertical="center" wrapText="1"/>
    </xf>
    <xf numFmtId="4" fontId="4" fillId="3" borderId="1" applyAlignment="1" pivotButton="0" quotePrefix="0" xfId="0">
      <alignment horizontal="right" vertical="center"/>
    </xf>
    <xf numFmtId="0" fontId="4" fillId="3" borderId="1" applyAlignment="1" pivotButton="0" quotePrefix="0" xfId="0">
      <alignment vertical="top" wrapText="1"/>
    </xf>
    <xf numFmtId="169" fontId="4" fillId="0" borderId="1" applyAlignment="1" pivotButton="0" quotePrefix="0" xfId="0">
      <alignment horizontal="right" vertical="center"/>
    </xf>
    <xf numFmtId="169" fontId="5" fillId="3" borderId="1" applyAlignment="1" pivotButton="0" quotePrefix="0" xfId="0">
      <alignment horizontal="right" vertical="center"/>
    </xf>
    <xf numFmtId="169" fontId="4" fillId="0" borderId="1" applyAlignment="1" pivotButton="0" quotePrefix="0" xfId="0">
      <alignment vertical="center" wrapText="1"/>
    </xf>
    <xf numFmtId="169" fontId="4" fillId="6" borderId="1" applyAlignment="1" pivotButton="0" quotePrefix="0" xfId="0">
      <alignment vertical="center" wrapText="1"/>
    </xf>
    <xf numFmtId="169" fontId="4" fillId="6" borderId="1" applyAlignment="1" pivotButton="0" quotePrefix="0" xfId="0">
      <alignment horizontal="right" vertical="center"/>
    </xf>
    <xf numFmtId="169" fontId="5" fillId="6" borderId="1" applyAlignment="1" pivotButton="0" quotePrefix="0" xfId="0">
      <alignment horizontal="right" vertical="center"/>
    </xf>
    <xf numFmtId="0" fontId="4" fillId="6" borderId="1" applyAlignment="1" pivotButton="0" quotePrefix="0" xfId="0">
      <alignment horizontal="right" vertical="center"/>
    </xf>
    <xf numFmtId="3" fontId="4" fillId="6" borderId="1" applyAlignment="1" pivotButton="0" quotePrefix="0" xfId="0">
      <alignment horizontal="right" vertical="center"/>
    </xf>
    <xf numFmtId="10" fontId="4" fillId="3" borderId="1" applyAlignment="1" pivotButton="0" quotePrefix="0" xfId="0">
      <alignment horizontal="right" vertical="center"/>
    </xf>
    <xf numFmtId="169" fontId="5" fillId="5" borderId="1" applyAlignment="1" pivotButton="0" quotePrefix="0" xfId="0">
      <alignment horizontal="right" vertical="center"/>
    </xf>
    <xf numFmtId="166" fontId="4" fillId="6" borderId="1" applyAlignment="1" pivotButton="0" quotePrefix="0" xfId="0">
      <alignment horizontal="right" vertical="center"/>
    </xf>
    <xf numFmtId="166" fontId="4" fillId="0" borderId="1" applyAlignment="1" pivotButton="0" quotePrefix="0" xfId="0">
      <alignment vertical="center" wrapText="1"/>
    </xf>
    <xf numFmtId="3" fontId="4" fillId="0" borderId="1" applyAlignment="1" pivotButton="0" quotePrefix="0" xfId="0">
      <alignment vertical="center" wrapText="1"/>
    </xf>
    <xf numFmtId="166" fontId="5" fillId="3" borderId="1" applyAlignment="1" pivotButton="0" quotePrefix="0" xfId="0">
      <alignment vertical="center" wrapText="1"/>
    </xf>
    <xf numFmtId="0" fontId="3" fillId="0" borderId="0" pivotButton="0" quotePrefix="0" xfId="0"/>
    <xf numFmtId="0" fontId="4" fillId="7" borderId="1" applyAlignment="1" pivotButton="0" quotePrefix="0" xfId="0">
      <alignment vertical="center"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图1　营业收入与同比增速（2023–2025，性质A）</a:t>
            </a:r>
          </a:p>
        </rich>
      </tx>
    </title>
    <plotArea>
      <barChart>
        <barDir val="col"/>
        <grouping val="clustered"/>
        <ser>
          <idx val="0"/>
          <order val="0"/>
          <tx>
            <strRef>
              <f>'08_趋势图表'!B4</f>
            </strRef>
          </tx>
          <spPr>
            <a:ln xmlns:a="http://schemas.openxmlformats.org/drawingml/2006/main">
              <a:prstDash val="solid"/>
            </a:ln>
          </spPr>
          <cat>
            <numRef>
              <f>'08_趋势图表'!$A$5:$A$7</f>
            </numRef>
          </cat>
          <val>
            <numRef>
              <f>'08_趋势图表'!$B$5:$B$7</f>
            </numRef>
          </val>
        </ser>
        <gapWidth val="150"/>
        <axId val="10"/>
        <axId val="100"/>
      </barChart>
      <lineChart>
        <grouping val="standard"/>
        <ser>
          <idx val="1"/>
          <order val="1"/>
          <tx>
            <strRef>
              <f>'08_趋势图表'!C4</f>
            </strRef>
          </tx>
          <spPr>
            <a:ln xmlns:a="http://schemas.openxmlformats.org/drawingml/2006/main">
              <a:prstDash val="solid"/>
            </a:ln>
          </spPr>
          <marker>
            <symbol val="none"/>
            <spPr>
              <a:ln xmlns:a="http://schemas.openxmlformats.org/drawingml/2006/main">
                <a:prstDash val="solid"/>
              </a:ln>
            </spPr>
          </marker>
          <val>
            <numRef>
              <f>'08_趋势图表'!$C$5:$C$7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营业收入（万元）</a:t>
                </a:r>
              </a:p>
            </rich>
          </tx>
        </title>
        <majorTickMark val="none"/>
        <minorTickMark val="none"/>
        <crossAx val="10"/>
        <crosses val="autoZero"/>
      </valAx>
      <valAx>
        <axId val="200"/>
        <scaling>
          <orientation val="minMax"/>
        </scaling>
        <axPos val="l"/>
        <majorGridlines/>
        <title>
          <tx>
            <rich>
              <a:bodyPr xmlns:a="http://schemas.openxmlformats.org/drawingml/2006/main"/>
              <a:p xmlns:a="http://schemas.openxmlformats.org/drawingml/2006/main">
                <a:pPr>
                  <a:defRPr/>
                </a:pPr>
                <a:r>
                  <a:t>营业收入同比增速</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图2　归母净利润 vs 扣非归母净利润（万元，性质A）</a:t>
            </a:r>
          </a:p>
        </rich>
      </tx>
    </title>
    <plotArea>
      <barChart>
        <barDir val="col"/>
        <grouping val="clustered"/>
        <ser>
          <idx val="0"/>
          <order val="0"/>
          <tx>
            <strRef>
              <f>'08_趋势图表'!D4</f>
            </strRef>
          </tx>
          <spPr>
            <a:ln xmlns:a="http://schemas.openxmlformats.org/drawingml/2006/main">
              <a:prstDash val="solid"/>
            </a:ln>
          </spPr>
          <cat>
            <numRef>
              <f>'08_趋势图表'!$A$5:$A$7</f>
            </numRef>
          </cat>
          <val>
            <numRef>
              <f>'08_趋势图表'!$D$5:$D$7</f>
            </numRef>
          </val>
        </ser>
        <ser>
          <idx val="1"/>
          <order val="1"/>
          <tx>
            <strRef>
              <f>'08_趋势图表'!E4</f>
            </strRef>
          </tx>
          <spPr>
            <a:ln xmlns:a="http://schemas.openxmlformats.org/drawingml/2006/main">
              <a:prstDash val="solid"/>
            </a:ln>
          </spPr>
          <cat>
            <numRef>
              <f>'08_趋势图表'!$A$5:$A$7</f>
            </numRef>
          </cat>
          <val>
            <numRef>
              <f>'08_趋势图表'!$E$5:$E$7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金额（万元）</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图3　非经常性损益净额（归母−扣非，万元）｜2025年为−31,254.23万元，主因股份支付费用34,906.55万元</a:t>
            </a:r>
          </a:p>
        </rich>
      </tx>
    </title>
    <plotArea>
      <barChart>
        <barDir val="col"/>
        <grouping val="clustered"/>
        <ser>
          <idx val="0"/>
          <order val="0"/>
          <tx>
            <strRef>
              <f>'08_趋势图表'!F4</f>
            </strRef>
          </tx>
          <spPr>
            <a:ln xmlns:a="http://schemas.openxmlformats.org/drawingml/2006/main">
              <a:prstDash val="solid"/>
            </a:ln>
          </spPr>
          <cat>
            <numRef>
              <f>'08_趋势图表'!$A$5:$A$7</f>
            </numRef>
          </cat>
          <val>
            <numRef>
              <f>'08_趋势图表'!$F$5:$F$7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金额（万元）</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图4　经营活动现金流净额 vs 营业收入（万元，性质A）</a:t>
            </a:r>
          </a:p>
        </rich>
      </tx>
    </title>
    <plotArea>
      <barChart>
        <barDir val="col"/>
        <grouping val="clustered"/>
        <ser>
          <idx val="0"/>
          <order val="0"/>
          <tx>
            <strRef>
              <f>'08_趋势图表'!G4</f>
            </strRef>
          </tx>
          <spPr>
            <a:ln xmlns:a="http://schemas.openxmlformats.org/drawingml/2006/main">
              <a:prstDash val="solid"/>
            </a:ln>
          </spPr>
          <cat>
            <numRef>
              <f>'08_趋势图表'!$A$5:$A$7</f>
            </numRef>
          </cat>
          <val>
            <numRef>
              <f>'08_趋势图表'!$G$5:$G$7</f>
            </numRef>
          </val>
        </ser>
        <ser>
          <idx val="1"/>
          <order val="1"/>
          <tx>
            <strRef>
              <f>'08_趋势图表'!B4</f>
            </strRef>
          </tx>
          <spPr>
            <a:ln xmlns:a="http://schemas.openxmlformats.org/drawingml/2006/main">
              <a:prstDash val="solid"/>
            </a:ln>
          </spPr>
          <cat>
            <numRef>
              <f>'08_趋势图表'!$A$5:$A$7</f>
            </numRef>
          </cat>
          <val>
            <numRef>
              <f>'08_趋势图表'!$B$5:$B$7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金额（万元）</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2"/>
  <chart>
    <title>
      <tx>
        <rich>
          <a:bodyPr xmlns:a="http://schemas.openxmlformats.org/drawingml/2006/main"/>
          <a:p xmlns:a="http://schemas.openxmlformats.org/drawingml/2006/main">
            <a:pPr>
              <a:defRPr/>
            </a:pPr>
            <a:r>
              <a:t>图5　盈利能力趋势：综合毛利率与扣非归母净利率（性质A/E）</a:t>
            </a:r>
          </a:p>
        </rich>
      </tx>
    </title>
    <plotArea>
      <lineChart>
        <grouping val="standard"/>
        <ser>
          <idx val="0"/>
          <order val="0"/>
          <tx>
            <strRef>
              <f>'08_趋势图表'!B10</f>
            </strRef>
          </tx>
          <spPr>
            <a:ln xmlns:a="http://schemas.openxmlformats.org/drawingml/2006/main">
              <a:prstDash val="solid"/>
            </a:ln>
          </spPr>
          <marker>
            <symbol val="none"/>
            <spPr>
              <a:ln xmlns:a="http://schemas.openxmlformats.org/drawingml/2006/main">
                <a:prstDash val="solid"/>
              </a:ln>
            </spPr>
          </marker>
          <cat>
            <numRef>
              <f>'08_趋势图表'!$A$11:$A$13</f>
            </numRef>
          </cat>
          <val>
            <numRef>
              <f>'08_趋势图表'!$B$11:$B$13</f>
            </numRef>
          </val>
        </ser>
        <ser>
          <idx val="1"/>
          <order val="1"/>
          <tx>
            <strRef>
              <f>'08_趋势图表'!C10</f>
            </strRef>
          </tx>
          <spPr>
            <a:ln xmlns:a="http://schemas.openxmlformats.org/drawingml/2006/main">
              <a:prstDash val="solid"/>
            </a:ln>
          </spPr>
          <marker>
            <symbol val="none"/>
            <spPr>
              <a:ln xmlns:a="http://schemas.openxmlformats.org/drawingml/2006/main">
                <a:prstDash val="solid"/>
              </a:ln>
            </spPr>
          </marker>
          <cat>
            <numRef>
              <f>'08_趋势图表'!$A$11:$A$13</f>
            </numRef>
          </cat>
          <val>
            <numRef>
              <f>'08_趋势图表'!$C$11:$C$13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比率</a:t>
                </a:r>
              </a:p>
            </rich>
          </tx>
        </title>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2"/>
  <chart>
    <title>
      <tx>
        <rich>
          <a:bodyPr xmlns:a="http://schemas.openxmlformats.org/drawingml/2006/main"/>
          <a:p xmlns:a="http://schemas.openxmlformats.org/drawingml/2006/main">
            <a:pPr>
              <a:defRPr/>
            </a:pPr>
            <a:r>
              <a:t>图6　费用率趋势（含剔除股份支付的管理费用率，性质A/E）</a:t>
            </a:r>
          </a:p>
        </rich>
      </tx>
    </title>
    <plotArea>
      <lineChart>
        <grouping val="standard"/>
        <ser>
          <idx val="0"/>
          <order val="0"/>
          <tx>
            <strRef>
              <f>'08_趋势图表'!D10</f>
            </strRef>
          </tx>
          <spPr>
            <a:ln xmlns:a="http://schemas.openxmlformats.org/drawingml/2006/main">
              <a:prstDash val="solid"/>
            </a:ln>
          </spPr>
          <marker>
            <symbol val="none"/>
            <spPr>
              <a:ln xmlns:a="http://schemas.openxmlformats.org/drawingml/2006/main">
                <a:prstDash val="solid"/>
              </a:ln>
            </spPr>
          </marker>
          <cat>
            <numRef>
              <f>'08_趋势图表'!$A$11:$A$13</f>
            </numRef>
          </cat>
          <val>
            <numRef>
              <f>'08_趋势图表'!$D$11:$D$13</f>
            </numRef>
          </val>
        </ser>
        <ser>
          <idx val="1"/>
          <order val="1"/>
          <tx>
            <strRef>
              <f>'08_趋势图表'!E10</f>
            </strRef>
          </tx>
          <spPr>
            <a:ln xmlns:a="http://schemas.openxmlformats.org/drawingml/2006/main">
              <a:prstDash val="solid"/>
            </a:ln>
          </spPr>
          <marker>
            <symbol val="none"/>
            <spPr>
              <a:ln xmlns:a="http://schemas.openxmlformats.org/drawingml/2006/main">
                <a:prstDash val="solid"/>
              </a:ln>
            </spPr>
          </marker>
          <cat>
            <numRef>
              <f>'08_趋势图表'!$A$11:$A$13</f>
            </numRef>
          </cat>
          <val>
            <numRef>
              <f>'08_趋势图表'!$E$11:$E$13</f>
            </numRef>
          </val>
        </ser>
        <ser>
          <idx val="2"/>
          <order val="2"/>
          <tx>
            <strRef>
              <f>'08_趋势图表'!F10</f>
            </strRef>
          </tx>
          <spPr>
            <a:ln xmlns:a="http://schemas.openxmlformats.org/drawingml/2006/main">
              <a:prstDash val="solid"/>
            </a:ln>
          </spPr>
          <marker>
            <symbol val="none"/>
            <spPr>
              <a:ln xmlns:a="http://schemas.openxmlformats.org/drawingml/2006/main">
                <a:prstDash val="solid"/>
              </a:ln>
            </spPr>
          </marker>
          <cat>
            <numRef>
              <f>'08_趋势图表'!$A$11:$A$13</f>
            </numRef>
          </cat>
          <val>
            <numRef>
              <f>'08_趋势图表'!$F$11:$F$13</f>
            </numRef>
          </val>
        </ser>
        <ser>
          <idx val="3"/>
          <order val="3"/>
          <tx>
            <strRef>
              <f>'08_趋势图表'!G10</f>
            </strRef>
          </tx>
          <spPr>
            <a:ln xmlns:a="http://schemas.openxmlformats.org/drawingml/2006/main">
              <a:prstDash val="solid"/>
            </a:ln>
          </spPr>
          <marker>
            <symbol val="none"/>
            <spPr>
              <a:ln xmlns:a="http://schemas.openxmlformats.org/drawingml/2006/main">
                <a:prstDash val="solid"/>
              </a:ln>
            </spPr>
          </marker>
          <cat>
            <numRef>
              <f>'08_趋势图表'!$A$11:$A$13</f>
            </numRef>
          </cat>
          <val>
            <numRef>
              <f>'08_趋势图表'!$G$11:$G$13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比率</a:t>
                </a:r>
              </a:p>
            </rich>
          </tx>
        </title>
        <numFmt formatCode="0%" sourceLinked="0"/>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图7　主营业务收入产品构成（堆积，万元，性质A）</a:t>
            </a:r>
          </a:p>
        </rich>
      </tx>
    </title>
    <plotArea>
      <barChart>
        <barDir val="col"/>
        <grouping val="stacked"/>
        <ser>
          <idx val="0"/>
          <order val="0"/>
          <tx>
            <strRef>
              <f>'08_趋势图表'!B16</f>
            </strRef>
          </tx>
          <spPr>
            <a:ln xmlns:a="http://schemas.openxmlformats.org/drawingml/2006/main">
              <a:prstDash val="solid"/>
            </a:ln>
          </spPr>
          <cat>
            <numRef>
              <f>'08_趋势图表'!$A$17:$A$20</f>
            </numRef>
          </cat>
          <val>
            <numRef>
              <f>'08_趋势图表'!$B$17:$B$20</f>
            </numRef>
          </val>
        </ser>
        <ser>
          <idx val="1"/>
          <order val="1"/>
          <tx>
            <strRef>
              <f>'08_趋势图表'!C16</f>
            </strRef>
          </tx>
          <spPr>
            <a:ln xmlns:a="http://schemas.openxmlformats.org/drawingml/2006/main">
              <a:prstDash val="solid"/>
            </a:ln>
          </spPr>
          <cat>
            <numRef>
              <f>'08_趋势图表'!$A$17:$A$20</f>
            </numRef>
          </cat>
          <val>
            <numRef>
              <f>'08_趋势图表'!$C$17:$C$20</f>
            </numRef>
          </val>
        </ser>
        <ser>
          <idx val="2"/>
          <order val="2"/>
          <tx>
            <strRef>
              <f>'08_趋势图表'!D16</f>
            </strRef>
          </tx>
          <spPr>
            <a:ln xmlns:a="http://schemas.openxmlformats.org/drawingml/2006/main">
              <a:prstDash val="solid"/>
            </a:ln>
          </spPr>
          <cat>
            <numRef>
              <f>'08_趋势图表'!$A$17:$A$20</f>
            </numRef>
          </cat>
          <val>
            <numRef>
              <f>'08_趋势图表'!$D$17:$D$20</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主营业务收入（万元）</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2"/>
  <chart>
    <title>
      <tx>
        <rich>
          <a:bodyPr xmlns:a="http://schemas.openxmlformats.org/drawingml/2006/main"/>
          <a:p xmlns:a="http://schemas.openxmlformats.org/drawingml/2006/main">
            <a:pPr>
              <a:defRPr/>
            </a:pPr>
            <a:r>
              <a:t>图8　分产品毛利率趋势（性质E·测算）</a:t>
            </a:r>
          </a:p>
        </rich>
      </tx>
    </title>
    <plotArea>
      <lineChart>
        <grouping val="standard"/>
        <ser>
          <idx val="0"/>
          <order val="0"/>
          <tx>
            <strRef>
              <f>'08_趋势图表'!B23</f>
            </strRef>
          </tx>
          <spPr>
            <a:ln xmlns:a="http://schemas.openxmlformats.org/drawingml/2006/main">
              <a:prstDash val="solid"/>
            </a:ln>
          </spPr>
          <marker>
            <symbol val="none"/>
            <spPr>
              <a:ln xmlns:a="http://schemas.openxmlformats.org/drawingml/2006/main">
                <a:prstDash val="solid"/>
              </a:ln>
            </spPr>
          </marker>
          <cat>
            <numRef>
              <f>'08_趋势图表'!$A$24:$A$26</f>
            </numRef>
          </cat>
          <val>
            <numRef>
              <f>'08_趋势图表'!$B$24:$B$26</f>
            </numRef>
          </val>
        </ser>
        <ser>
          <idx val="1"/>
          <order val="1"/>
          <tx>
            <strRef>
              <f>'08_趋势图表'!C23</f>
            </strRef>
          </tx>
          <spPr>
            <a:ln xmlns:a="http://schemas.openxmlformats.org/drawingml/2006/main">
              <a:prstDash val="solid"/>
            </a:ln>
          </spPr>
          <marker>
            <symbol val="none"/>
            <spPr>
              <a:ln xmlns:a="http://schemas.openxmlformats.org/drawingml/2006/main">
                <a:prstDash val="solid"/>
              </a:ln>
            </spPr>
          </marker>
          <cat>
            <numRef>
              <f>'08_趋势图表'!$A$24:$A$26</f>
            </numRef>
          </cat>
          <val>
            <numRef>
              <f>'08_趋势图表'!$C$24:$C$26</f>
            </numRef>
          </val>
        </ser>
        <ser>
          <idx val="2"/>
          <order val="2"/>
          <tx>
            <strRef>
              <f>'08_趋势图表'!D23</f>
            </strRef>
          </tx>
          <spPr>
            <a:ln xmlns:a="http://schemas.openxmlformats.org/drawingml/2006/main">
              <a:prstDash val="solid"/>
            </a:ln>
          </spPr>
          <marker>
            <symbol val="none"/>
            <spPr>
              <a:ln xmlns:a="http://schemas.openxmlformats.org/drawingml/2006/main">
                <a:prstDash val="solid"/>
              </a:ln>
            </spPr>
          </marker>
          <cat>
            <numRef>
              <f>'08_趋势图表'!$A$24:$A$26</f>
            </numRef>
          </cat>
          <val>
            <numRef>
              <f>'08_趋势图表'!$D$24:$D$26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毛利率</a:t>
                </a:r>
              </a:p>
            </rich>
          </tx>
        </title>
        <numFmt formatCode="0%" sourceLinked="0"/>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0"/>
  <chart>
    <title>
      <tx>
        <rich>
          <a:bodyPr xmlns:a="http://schemas.openxmlformats.org/drawingml/2006/main"/>
          <a:p xmlns:a="http://schemas.openxmlformats.org/drawingml/2006/main">
            <a:pPr>
              <a:defRPr/>
            </a:pPr>
            <a:r>
              <a:t>图9　人形机器人销量与平均单价（销量性质A；单价性质E）</a:t>
            </a:r>
          </a:p>
        </rich>
      </tx>
    </title>
    <plotArea>
      <barChart>
        <barDir val="col"/>
        <grouping val="clustered"/>
        <ser>
          <idx val="0"/>
          <order val="0"/>
          <tx>
            <strRef>
              <f>'08_趋势图表'!B29</f>
            </strRef>
          </tx>
          <spPr>
            <a:ln xmlns:a="http://schemas.openxmlformats.org/drawingml/2006/main">
              <a:prstDash val="solid"/>
            </a:ln>
          </spPr>
          <cat>
            <numRef>
              <f>'08_趋势图表'!$A$30:$A$32</f>
            </numRef>
          </cat>
          <val>
            <numRef>
              <f>'08_趋势图表'!$B$30:$B$32</f>
            </numRef>
          </val>
        </ser>
        <gapWidth val="150"/>
        <axId val="10"/>
        <axId val="100"/>
      </barChart>
      <lineChart>
        <grouping val="standard"/>
        <ser>
          <idx val="1"/>
          <order val="1"/>
          <tx>
            <strRef>
              <f>'08_趋势图表'!C29</f>
            </strRef>
          </tx>
          <spPr>
            <a:ln xmlns:a="http://schemas.openxmlformats.org/drawingml/2006/main">
              <a:prstDash val="solid"/>
            </a:ln>
          </spPr>
          <marker>
            <symbol val="none"/>
            <spPr>
              <a:ln xmlns:a="http://schemas.openxmlformats.org/drawingml/2006/main">
                <a:prstDash val="solid"/>
              </a:ln>
            </spPr>
          </marker>
          <val>
            <numRef>
              <f>'08_趋势图表'!$C$30:$C$32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销量（台）</a:t>
                </a:r>
              </a:p>
            </rich>
          </tx>
        </title>
        <majorTickMark val="none"/>
        <minorTickMark val="none"/>
        <crossAx val="10"/>
        <crosses val="autoZero"/>
      </valAx>
      <valAx>
        <axId val="200"/>
        <scaling>
          <orientation val="minMax"/>
        </scaling>
        <axPos val="l"/>
        <majorGridlines/>
        <title>
          <tx>
            <rich>
              <a:bodyPr xmlns:a="http://schemas.openxmlformats.org/drawingml/2006/main"/>
              <a:p xmlns:a="http://schemas.openxmlformats.org/drawingml/2006/main">
                <a:pPr>
                  <a:defRPr/>
                </a:pPr>
                <a:r>
                  <a:t>平均单价（万元/台）</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10"/>
  <chart>
    <title>
      <tx>
        <rich>
          <a:bodyPr xmlns:a="http://schemas.openxmlformats.org/drawingml/2006/main"/>
          <a:p xmlns:a="http://schemas.openxmlformats.org/drawingml/2006/main">
            <a:pPr>
              <a:defRPr/>
            </a:pPr>
            <a:r>
              <a:t>图10　四足机器人销量与平均单价（销量性质A；单价性质E）</a:t>
            </a:r>
          </a:p>
        </rich>
      </tx>
    </title>
    <plotArea>
      <barChart>
        <barDir val="col"/>
        <grouping val="clustered"/>
        <ser>
          <idx val="0"/>
          <order val="0"/>
          <tx>
            <strRef>
              <f>'08_趋势图表'!D29</f>
            </strRef>
          </tx>
          <spPr>
            <a:ln xmlns:a="http://schemas.openxmlformats.org/drawingml/2006/main">
              <a:prstDash val="solid"/>
            </a:ln>
          </spPr>
          <cat>
            <numRef>
              <f>'08_趋势图表'!$A$30:$A$32</f>
            </numRef>
          </cat>
          <val>
            <numRef>
              <f>'08_趋势图表'!$D$30:$D$32</f>
            </numRef>
          </val>
        </ser>
        <gapWidth val="150"/>
        <axId val="10"/>
        <axId val="100"/>
      </barChart>
      <lineChart>
        <grouping val="standard"/>
        <ser>
          <idx val="1"/>
          <order val="1"/>
          <tx>
            <strRef>
              <f>'08_趋势图表'!E29</f>
            </strRef>
          </tx>
          <spPr>
            <a:ln xmlns:a="http://schemas.openxmlformats.org/drawingml/2006/main">
              <a:prstDash val="solid"/>
            </a:ln>
          </spPr>
          <marker>
            <symbol val="none"/>
            <spPr>
              <a:ln xmlns:a="http://schemas.openxmlformats.org/drawingml/2006/main">
                <a:prstDash val="solid"/>
              </a:ln>
            </spPr>
          </marker>
          <val>
            <numRef>
              <f>'08_趋势图表'!$E$30:$E$32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销量（台）</a:t>
                </a:r>
              </a:p>
            </rich>
          </tx>
        </title>
        <majorTickMark val="none"/>
        <minorTickMark val="none"/>
        <crossAx val="10"/>
        <crosses val="autoZero"/>
      </valAx>
      <valAx>
        <axId val="200"/>
        <scaling>
          <orientation val="minMax"/>
        </scaling>
        <axPos val="l"/>
        <majorGridlines/>
        <title>
          <tx>
            <rich>
              <a:bodyPr xmlns:a="http://schemas.openxmlformats.org/drawingml/2006/main"/>
              <a:p xmlns:a="http://schemas.openxmlformats.org/drawingml/2006/main">
                <a:pPr>
                  <a:defRPr/>
                </a:pPr>
                <a:r>
                  <a:t>平均单价（万元/台）</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10"/>
  <chart>
    <title>
      <tx>
        <rich>
          <a:bodyPr xmlns:a="http://schemas.openxmlformats.org/drawingml/2006/main"/>
          <a:p xmlns:a="http://schemas.openxmlformats.org/drawingml/2006/main">
            <a:pPr>
              <a:defRPr/>
            </a:pPr>
            <a:r>
              <a:t>图11　主营业务收入境内外结构（堆积，万元，性质A）</a:t>
            </a:r>
          </a:p>
        </rich>
      </tx>
    </title>
    <plotArea>
      <barChart>
        <barDir val="col"/>
        <grouping val="stacked"/>
        <ser>
          <idx val="0"/>
          <order val="0"/>
          <tx>
            <strRef>
              <f>'08_趋势图表'!B36</f>
            </strRef>
          </tx>
          <spPr>
            <a:ln xmlns:a="http://schemas.openxmlformats.org/drawingml/2006/main">
              <a:prstDash val="solid"/>
            </a:ln>
          </spPr>
          <cat>
            <numRef>
              <f>'08_趋势图表'!$A$37:$A$39</f>
            </numRef>
          </cat>
          <val>
            <numRef>
              <f>'08_趋势图表'!$B$37:$B$39</f>
            </numRef>
          </val>
        </ser>
        <ser>
          <idx val="1"/>
          <order val="1"/>
          <tx>
            <strRef>
              <f>'08_趋势图表'!C36</f>
            </strRef>
          </tx>
          <spPr>
            <a:ln xmlns:a="http://schemas.openxmlformats.org/drawingml/2006/main">
              <a:prstDash val="solid"/>
            </a:ln>
          </spPr>
          <cat>
            <numRef>
              <f>'08_趋势图表'!$A$37:$A$39</f>
            </numRef>
          </cat>
          <val>
            <numRef>
              <f>'08_趋势图表'!$C$37:$C$39</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主营业务收入（万元）</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style val="10"/>
  <chart>
    <title>
      <tx>
        <rich>
          <a:bodyPr xmlns:a="http://schemas.openxmlformats.org/drawingml/2006/main"/>
          <a:p xmlns:a="http://schemas.openxmlformats.org/drawingml/2006/main">
            <a:pPr>
              <a:defRPr/>
            </a:pPr>
            <a:r>
              <a:t>图12　主营业务收入季度分布（万元，性质A）</a:t>
            </a:r>
          </a:p>
        </rich>
      </tx>
    </title>
    <plotArea>
      <barChart>
        <barDir val="col"/>
        <grouping val="clustered"/>
        <ser>
          <idx val="0"/>
          <order val="0"/>
          <tx>
            <strRef>
              <f>'08_趋势图表'!B42</f>
            </strRef>
          </tx>
          <spPr>
            <a:ln xmlns:a="http://schemas.openxmlformats.org/drawingml/2006/main">
              <a:prstDash val="solid"/>
            </a:ln>
          </spPr>
          <cat>
            <numRef>
              <f>'08_趋势图表'!$A$43:$A$46</f>
            </numRef>
          </cat>
          <val>
            <numRef>
              <f>'08_趋势图表'!$B$43:$B$46</f>
            </numRef>
          </val>
        </ser>
        <ser>
          <idx val="1"/>
          <order val="1"/>
          <tx>
            <strRef>
              <f>'08_趋势图表'!C42</f>
            </strRef>
          </tx>
          <spPr>
            <a:ln xmlns:a="http://schemas.openxmlformats.org/drawingml/2006/main">
              <a:prstDash val="solid"/>
            </a:ln>
          </spPr>
          <cat>
            <numRef>
              <f>'08_趋势图表'!$A$43:$A$46</f>
            </numRef>
          </cat>
          <val>
            <numRef>
              <f>'08_趋势图表'!$C$43:$C$46</f>
            </numRef>
          </val>
        </ser>
        <ser>
          <idx val="2"/>
          <order val="2"/>
          <tx>
            <strRef>
              <f>'08_趋势图表'!D42</f>
            </strRef>
          </tx>
          <spPr>
            <a:ln xmlns:a="http://schemas.openxmlformats.org/drawingml/2006/main">
              <a:prstDash val="solid"/>
            </a:ln>
          </spPr>
          <cat>
            <numRef>
              <f>'08_趋势图表'!$A$43:$A$46</f>
            </numRef>
          </cat>
          <val>
            <numRef>
              <f>'08_趋势图表'!$D$43:$D$46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主营业务收入（万元）</a:t>
                </a:r>
              </a:p>
            </rich>
          </tx>
        </title>
        <majorTickMark val="none"/>
        <minorTickMark val="none"/>
        <crossAx val="10"/>
      </valAx>
    </plotArea>
    <legend>
      <legendPos val="r"/>
    </legend>
    <plotVisOnly val="1"/>
    <dispBlanksAs val="gap"/>
  </chart>
</chartSpace>
</file>

<file path=xl/charts/chart13.xml><?xml version="1.0" encoding="utf-8"?>
<chartSpace xmlns="http://schemas.openxmlformats.org/drawingml/2006/chart">
  <style val="10"/>
  <chart>
    <title>
      <tx>
        <rich>
          <a:bodyPr xmlns:a="http://schemas.openxmlformats.org/drawingml/2006/main"/>
          <a:p xmlns:a="http://schemas.openxmlformats.org/drawingml/2006/main">
            <a:pPr>
              <a:defRPr/>
            </a:pPr>
            <a:r>
              <a:t>图13　研发费用与研发投入占营收比例（性质A）</a:t>
            </a:r>
          </a:p>
        </rich>
      </tx>
    </title>
    <plotArea>
      <barChart>
        <barDir val="col"/>
        <grouping val="clustered"/>
        <ser>
          <idx val="0"/>
          <order val="0"/>
          <tx>
            <strRef>
              <f>'08_趋势图表'!B49</f>
            </strRef>
          </tx>
          <spPr>
            <a:ln xmlns:a="http://schemas.openxmlformats.org/drawingml/2006/main">
              <a:prstDash val="solid"/>
            </a:ln>
          </spPr>
          <cat>
            <numRef>
              <f>'08_趋势图表'!$A$50:$A$52</f>
            </numRef>
          </cat>
          <val>
            <numRef>
              <f>'08_趋势图表'!$B$50:$B$52</f>
            </numRef>
          </val>
        </ser>
        <gapWidth val="150"/>
        <axId val="10"/>
        <axId val="100"/>
      </barChart>
      <lineChart>
        <grouping val="standard"/>
        <ser>
          <idx val="1"/>
          <order val="1"/>
          <tx>
            <strRef>
              <f>'08_趋势图表'!C49</f>
            </strRef>
          </tx>
          <spPr>
            <a:ln xmlns:a="http://schemas.openxmlformats.org/drawingml/2006/main">
              <a:prstDash val="solid"/>
            </a:ln>
          </spPr>
          <marker>
            <symbol val="none"/>
            <spPr>
              <a:ln xmlns:a="http://schemas.openxmlformats.org/drawingml/2006/main">
                <a:prstDash val="solid"/>
              </a:ln>
            </spPr>
          </marker>
          <val>
            <numRef>
              <f>'08_趋势图表'!$C$50:$C$52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研发费用（万元）</a:t>
                </a:r>
              </a:p>
            </rich>
          </tx>
        </title>
        <majorTickMark val="none"/>
        <minorTickMark val="none"/>
        <crossAx val="10"/>
        <crosses val="autoZero"/>
      </valAx>
      <valAx>
        <axId val="200"/>
        <scaling>
          <orientation val="minMax"/>
        </scaling>
        <axPos val="l"/>
        <majorGridlines/>
        <title>
          <tx>
            <rich>
              <a:bodyPr xmlns:a="http://schemas.openxmlformats.org/drawingml/2006/main"/>
              <a:p xmlns:a="http://schemas.openxmlformats.org/drawingml/2006/main">
                <a:pPr>
                  <a:defRPr/>
                </a:pPr>
                <a:r>
                  <a:t>研发投入占营收比例</a:t>
                </a:r>
              </a:p>
            </rich>
          </tx>
        </title>
        <numFmt formatCode="0%" sourceLinked="0"/>
        <majorTickMark val="none"/>
        <minorTickMark val="none"/>
        <crossAx val="10"/>
      </valAx>
    </plotArea>
    <legend>
      <legendPos val="r"/>
    </legend>
    <plotVisOnly val="1"/>
    <dispBlanksAs val="gap"/>
  </chart>
</chartSpace>
</file>

<file path=xl/charts/chart14.xml><?xml version="1.0" encoding="utf-8"?>
<chartSpace xmlns="http://schemas.openxmlformats.org/drawingml/2006/chart">
  <style val="10"/>
  <chart>
    <title>
      <tx>
        <rich>
          <a:bodyPr xmlns:a="http://schemas.openxmlformats.org/drawingml/2006/main"/>
          <a:p xmlns:a="http://schemas.openxmlformats.org/drawingml/2006/main">
            <a:pPr>
              <a:defRPr/>
            </a:pPr>
            <a:r>
              <a:t>图14　同行业可比公司营业收入对比（万元，性质A）</a:t>
            </a:r>
          </a:p>
        </rich>
      </tx>
    </title>
    <plotArea>
      <barChart>
        <barDir val="col"/>
        <grouping val="clustered"/>
        <ser>
          <idx val="0"/>
          <order val="0"/>
          <tx>
            <strRef>
              <f>'08_趋势图表'!B55</f>
            </strRef>
          </tx>
          <spPr>
            <a:ln xmlns:a="http://schemas.openxmlformats.org/drawingml/2006/main">
              <a:prstDash val="solid"/>
            </a:ln>
          </spPr>
          <cat>
            <numRef>
              <f>'08_趋势图表'!$A$56:$A$61</f>
            </numRef>
          </cat>
          <val>
            <numRef>
              <f>'08_趋势图表'!$B$56:$B$61</f>
            </numRef>
          </val>
        </ser>
        <ser>
          <idx val="1"/>
          <order val="1"/>
          <tx>
            <strRef>
              <f>'08_趋势图表'!C55</f>
            </strRef>
          </tx>
          <spPr>
            <a:ln xmlns:a="http://schemas.openxmlformats.org/drawingml/2006/main">
              <a:prstDash val="solid"/>
            </a:ln>
          </spPr>
          <cat>
            <numRef>
              <f>'08_趋势图表'!$A$56:$A$61</f>
            </numRef>
          </cat>
          <val>
            <numRef>
              <f>'08_趋势图表'!$C$56:$C$61</f>
            </numRef>
          </val>
        </ser>
        <ser>
          <idx val="2"/>
          <order val="2"/>
          <tx>
            <strRef>
              <f>'08_趋势图表'!D55</f>
            </strRef>
          </tx>
          <spPr>
            <a:ln xmlns:a="http://schemas.openxmlformats.org/drawingml/2006/main">
              <a:prstDash val="solid"/>
            </a:ln>
          </spPr>
          <cat>
            <numRef>
              <f>'08_趋势图表'!$A$56:$A$61</f>
            </numRef>
          </cat>
          <val>
            <numRef>
              <f>'08_趋势图表'!$D$56:$D$61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营业收入（万元）</a:t>
                </a:r>
              </a:p>
            </rich>
          </tx>
        </title>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12"/>
  <chart>
    <title>
      <tx>
        <rich>
          <a:bodyPr xmlns:a="http://schemas.openxmlformats.org/drawingml/2006/main"/>
          <a:p xmlns:a="http://schemas.openxmlformats.org/drawingml/2006/main">
            <a:pPr>
              <a:defRPr/>
            </a:pPr>
            <a:r>
              <a:t>图15　同行业可比公司综合毛利率对比（性质A）</a:t>
            </a:r>
          </a:p>
        </rich>
      </tx>
    </title>
    <plotArea>
      <lineChart>
        <grouping val="standard"/>
        <ser>
          <idx val="0"/>
          <order val="0"/>
          <tx>
            <strRef>
              <f>'08_趋势图表'!E55</f>
            </strRef>
          </tx>
          <spPr>
            <a:ln xmlns:a="http://schemas.openxmlformats.org/drawingml/2006/main">
              <a:prstDash val="solid"/>
            </a:ln>
          </spPr>
          <marker>
            <symbol val="none"/>
            <spPr>
              <a:ln xmlns:a="http://schemas.openxmlformats.org/drawingml/2006/main">
                <a:prstDash val="solid"/>
              </a:ln>
            </spPr>
          </marker>
          <cat>
            <numRef>
              <f>'08_趋势图表'!$A$56:$A$61</f>
            </numRef>
          </cat>
          <val>
            <numRef>
              <f>'08_趋势图表'!$E$56:$E$61</f>
            </numRef>
          </val>
        </ser>
        <ser>
          <idx val="1"/>
          <order val="1"/>
          <tx>
            <strRef>
              <f>'08_趋势图表'!F55</f>
            </strRef>
          </tx>
          <spPr>
            <a:ln xmlns:a="http://schemas.openxmlformats.org/drawingml/2006/main">
              <a:prstDash val="solid"/>
            </a:ln>
          </spPr>
          <marker>
            <symbol val="none"/>
            <spPr>
              <a:ln xmlns:a="http://schemas.openxmlformats.org/drawingml/2006/main">
                <a:prstDash val="solid"/>
              </a:ln>
            </spPr>
          </marker>
          <cat>
            <numRef>
              <f>'08_趋势图表'!$A$56:$A$61</f>
            </numRef>
          </cat>
          <val>
            <numRef>
              <f>'08_趋势图表'!$F$56:$F$61</f>
            </numRef>
          </val>
        </ser>
        <ser>
          <idx val="2"/>
          <order val="2"/>
          <tx>
            <strRef>
              <f>'08_趋势图表'!G55</f>
            </strRef>
          </tx>
          <spPr>
            <a:ln xmlns:a="http://schemas.openxmlformats.org/drawingml/2006/main">
              <a:prstDash val="solid"/>
            </a:ln>
          </spPr>
          <marker>
            <symbol val="none"/>
            <spPr>
              <a:ln xmlns:a="http://schemas.openxmlformats.org/drawingml/2006/main">
                <a:prstDash val="solid"/>
              </a:ln>
            </spPr>
          </marker>
          <cat>
            <numRef>
              <f>'08_趋势图表'!$A$56:$A$61</f>
            </numRef>
          </cat>
          <val>
            <numRef>
              <f>'08_趋势图表'!$G$56:$G$61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综合毛利率</a:t>
                </a:r>
              </a:p>
            </rich>
          </tx>
        </title>
        <numFmt formatCode="0%" sourceLinked="0"/>
        <majorTickMark val="none"/>
        <minorTickMark val="none"/>
        <crossAx val="10"/>
      </valAx>
    </plotArea>
    <legend>
      <legendPos val="r"/>
    </legend>
    <plotVisOnly val="1"/>
    <dispBlanksAs val="gap"/>
  </chart>
</chartSpace>
</file>

<file path=xl/charts/chart16.xml><?xml version="1.0" encoding="utf-8"?>
<chartSpace xmlns="http://schemas.openxmlformats.org/drawingml/2006/chart">
  <style val="12"/>
  <chart>
    <title>
      <tx>
        <rich>
          <a:bodyPr xmlns:a="http://schemas.openxmlformats.org/drawingml/2006/main"/>
          <a:p xmlns:a="http://schemas.openxmlformats.org/drawingml/2006/main">
            <a:pPr>
              <a:defRPr/>
            </a:pPr>
            <a:r>
              <a:t>图16　上市后收盘价走势（2026-08-19 至 08-28，性质E，来源S9）</a:t>
            </a:r>
          </a:p>
        </rich>
      </tx>
    </title>
    <plotArea>
      <lineChart>
        <grouping val="standard"/>
        <ser>
          <idx val="0"/>
          <order val="0"/>
          <tx>
            <strRef>
              <f>'08_趋势图表'!B64</f>
            </strRef>
          </tx>
          <spPr>
            <a:ln xmlns:a="http://schemas.openxmlformats.org/drawingml/2006/main">
              <a:prstDash val="solid"/>
            </a:ln>
          </spPr>
          <marker>
            <symbol val="none"/>
            <spPr>
              <a:ln xmlns:a="http://schemas.openxmlformats.org/drawingml/2006/main">
                <a:prstDash val="solid"/>
              </a:ln>
            </spPr>
          </marker>
          <cat>
            <numRef>
              <f>'08_趋势图表'!$A$65:$A$72</f>
            </numRef>
          </cat>
          <val>
            <numRef>
              <f>'08_趋势图表'!$B$65:$B$72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收盘价（元）</a:t>
                </a:r>
              </a:p>
            </rich>
          </tx>
        </title>
        <majorTickMark val="none"/>
        <minorTickMark val="none"/>
        <crossAx val="10"/>
      </valAx>
    </plotArea>
    <legend>
      <legendPos val="r"/>
    </legend>
    <plotVisOnly val="1"/>
    <dispBlanksAs val="gap"/>
  </chart>
</chartSpace>
</file>

<file path=xl/charts/chart17.xml><?xml version="1.0" encoding="utf-8"?>
<chartSpace xmlns="http://schemas.openxmlformats.org/drawingml/2006/chart">
  <style val="10"/>
  <chart>
    <title>
      <tx>
        <rich>
          <a:bodyPr xmlns:a="http://schemas.openxmlformats.org/drawingml/2006/main"/>
          <a:p xmlns:a="http://schemas.openxmlformats.org/drawingml/2006/main">
            <a:pPr>
              <a:defRPr/>
            </a:pPr>
            <a:r>
              <a:t>图17　收盘价对应总市值（亿元，性质E）</a:t>
            </a:r>
          </a:p>
        </rich>
      </tx>
    </title>
    <plotArea>
      <barChart>
        <barDir val="col"/>
        <grouping val="clustered"/>
        <ser>
          <idx val="0"/>
          <order val="0"/>
          <tx>
            <strRef>
              <f>'08_趋势图表'!F64</f>
            </strRef>
          </tx>
          <spPr>
            <a:ln xmlns:a="http://schemas.openxmlformats.org/drawingml/2006/main">
              <a:prstDash val="solid"/>
            </a:ln>
          </spPr>
          <cat>
            <numRef>
              <f>'08_趋势图表'!$A$65:$A$72</f>
            </numRef>
          </cat>
          <val>
            <numRef>
              <f>'08_趋势图表'!$F$65:$F$72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总市值（亿元）</a:t>
                </a:r>
              </a:p>
            </rich>
          </tx>
        </title>
        <majorTickMark val="none"/>
        <minorTickMark val="none"/>
        <crossAx val="10"/>
      </valAx>
    </plotArea>
    <legend>
      <legendPos val="r"/>
    </legend>
    <plotVisOnly val="1"/>
    <dispBlanksAs val="gap"/>
  </chart>
</chartSpace>
</file>

<file path=xl/charts/chart18.xml><?xml version="1.0" encoding="utf-8"?>
<chartSpace xmlns="http://schemas.openxmlformats.org/drawingml/2006/chart">
  <style val="12"/>
  <chart>
    <title>
      <tx>
        <rich>
          <a:bodyPr xmlns:a="http://schemas.openxmlformats.org/drawingml/2006/main"/>
          <a:p xmlns:a="http://schemas.openxmlformats.org/drawingml/2006/main">
            <a:pPr>
              <a:defRPr/>
            </a:pPr>
            <a:r>
              <a:t>图18　上市后单日涨跌幅与换手率（性质E）</a:t>
            </a:r>
          </a:p>
        </rich>
      </tx>
    </title>
    <plotArea>
      <lineChart>
        <grouping val="standard"/>
        <ser>
          <idx val="0"/>
          <order val="0"/>
          <tx>
            <strRef>
              <f>'08_趋势图表'!C64</f>
            </strRef>
          </tx>
          <spPr>
            <a:ln xmlns:a="http://schemas.openxmlformats.org/drawingml/2006/main">
              <a:prstDash val="solid"/>
            </a:ln>
          </spPr>
          <marker>
            <symbol val="none"/>
            <spPr>
              <a:ln xmlns:a="http://schemas.openxmlformats.org/drawingml/2006/main">
                <a:prstDash val="solid"/>
              </a:ln>
            </spPr>
          </marker>
          <cat>
            <numRef>
              <f>'08_趋势图表'!$A$65:$A$72</f>
            </numRef>
          </cat>
          <val>
            <numRef>
              <f>'08_趋势图表'!$C$65:$C$72</f>
            </numRef>
          </val>
        </ser>
        <ser>
          <idx val="1"/>
          <order val="1"/>
          <tx>
            <strRef>
              <f>'08_趋势图表'!E64</f>
            </strRef>
          </tx>
          <spPr>
            <a:ln xmlns:a="http://schemas.openxmlformats.org/drawingml/2006/main">
              <a:prstDash val="solid"/>
            </a:ln>
          </spPr>
          <marker>
            <symbol val="none"/>
            <spPr>
              <a:ln xmlns:a="http://schemas.openxmlformats.org/drawingml/2006/main">
                <a:prstDash val="solid"/>
              </a:ln>
            </spPr>
          </marker>
          <cat>
            <numRef>
              <f>'08_趋势图表'!$A$65:$A$72</f>
            </numRef>
          </cat>
          <val>
            <numRef>
              <f>'08_趋势图表'!$E$65:$E$72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比率</a:t>
                </a:r>
              </a:p>
            </rich>
          </tx>
        </title>
        <numFmt formatCode="0%" sourceLinked="0"/>
        <majorTickMark val="none"/>
        <minorTickMark val="none"/>
        <crossAx val="10"/>
      </valAx>
    </plotArea>
    <legend>
      <legendPos val="r"/>
    </legend>
    <plotVisOnly val="1"/>
    <dispBlanksAs val="gap"/>
  </chart>
</chartSpace>
</file>

<file path=xl/charts/chart19.xml><?xml version="1.0" encoding="utf-8"?>
<chartSpace xmlns="http://schemas.openxmlformats.org/drawingml/2006/chart">
  <style val="10"/>
  <chart>
    <title>
      <tx>
        <rich>
          <a:bodyPr xmlns:a="http://schemas.openxmlformats.org/drawingml/2006/main"/>
          <a:p xmlns:a="http://schemas.openxmlformats.org/drawingml/2006/main">
            <a:pPr>
              <a:defRPr/>
            </a:pPr>
            <a:r>
              <a:t>图19　2026年1-6月：管理层预计区间（性质D）vs 已实现（性质C）｜预计数不得表述为已实现</a:t>
            </a:r>
          </a:p>
        </rich>
      </tx>
    </title>
    <plotArea>
      <barChart>
        <barDir val="col"/>
        <grouping val="clustered"/>
        <ser>
          <idx val="0"/>
          <order val="0"/>
          <tx>
            <strRef>
              <f>'08_趋势图表'!B76</f>
            </strRef>
          </tx>
          <spPr>
            <a:ln xmlns:a="http://schemas.openxmlformats.org/drawingml/2006/main">
              <a:prstDash val="solid"/>
            </a:ln>
          </spPr>
          <cat>
            <numRef>
              <f>'08_趋势图表'!$A$77:$A$79</f>
            </numRef>
          </cat>
          <val>
            <numRef>
              <f>'08_趋势图表'!$B$77:$B$79</f>
            </numRef>
          </val>
        </ser>
        <ser>
          <idx val="1"/>
          <order val="1"/>
          <tx>
            <strRef>
              <f>'08_趋势图表'!C76</f>
            </strRef>
          </tx>
          <spPr>
            <a:ln xmlns:a="http://schemas.openxmlformats.org/drawingml/2006/main">
              <a:prstDash val="solid"/>
            </a:ln>
          </spPr>
          <cat>
            <numRef>
              <f>'08_趋势图表'!$A$77:$A$79</f>
            </numRef>
          </cat>
          <val>
            <numRef>
              <f>'08_趋势图表'!$C$77:$C$79</f>
            </numRef>
          </val>
        </ser>
        <ser>
          <idx val="2"/>
          <order val="2"/>
          <tx>
            <strRef>
              <f>'08_趋势图表'!D76</f>
            </strRef>
          </tx>
          <spPr>
            <a:ln xmlns:a="http://schemas.openxmlformats.org/drawingml/2006/main">
              <a:prstDash val="solid"/>
            </a:ln>
          </spPr>
          <cat>
            <numRef>
              <f>'08_趋势图表'!$A$77:$A$79</f>
            </numRef>
          </cat>
          <val>
            <numRef>
              <f>'08_趋势图表'!$D$77:$D$79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金额（万元）</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s>
</file>

<file path=xl/drawings/drawing1.xml><?xml version="1.0" encoding="utf-8"?>
<wsDr xmlns="http://schemas.openxmlformats.org/drawingml/2006/spreadsheetDrawing">
  <oneCellAnchor>
    <from>
      <col>0</col>
      <colOff>0</colOff>
      <row>83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103</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123</row>
      <rowOff>0</rowOff>
    </from>
    <ext cx="648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143</row>
      <rowOff>0</rowOff>
    </from>
    <ext cx="648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163</row>
      <rowOff>0</rowOff>
    </from>
    <ext cx="648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183</row>
      <rowOff>0</rowOff>
    </from>
    <ext cx="6480000" cy="36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203</row>
      <rowOff>0</rowOff>
    </from>
    <ext cx="6480000" cy="36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0</col>
      <colOff>0</colOff>
      <row>223</row>
      <rowOff>0</rowOff>
    </from>
    <ext cx="6480000" cy="36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243</row>
      <rowOff>0</rowOff>
    </from>
    <ext cx="6480000" cy="360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0</col>
      <colOff>0</colOff>
      <row>263</row>
      <rowOff>0</rowOff>
    </from>
    <ext cx="6480000" cy="360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0</col>
      <colOff>0</colOff>
      <row>283</row>
      <rowOff>0</rowOff>
    </from>
    <ext cx="6480000" cy="360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0</col>
      <colOff>0</colOff>
      <row>303</row>
      <rowOff>0</rowOff>
    </from>
    <ext cx="6480000" cy="360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0</col>
      <colOff>0</colOff>
      <row>323</row>
      <rowOff>0</rowOff>
    </from>
    <ext cx="6480000" cy="360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0</col>
      <colOff>0</colOff>
      <row>343</row>
      <rowOff>0</rowOff>
    </from>
    <ext cx="6480000" cy="360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0</col>
      <colOff>0</colOff>
      <row>363</row>
      <rowOff>0</rowOff>
    </from>
    <ext cx="6480000" cy="360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0</col>
      <colOff>0</colOff>
      <row>383</row>
      <rowOff>0</rowOff>
    </from>
    <ext cx="6480000" cy="360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0</col>
      <colOff>0</colOff>
      <row>403</row>
      <rowOff>0</rowOff>
    </from>
    <ext cx="6480000" cy="360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0</col>
      <colOff>0</colOff>
      <row>423</row>
      <rowOff>0</rowOff>
    </from>
    <ext cx="6480000" cy="360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0</col>
      <colOff>0</colOff>
      <row>443</row>
      <rowOff>0</rowOff>
    </from>
    <ext cx="6480000" cy="360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A1:D44"/>
  <sheetViews>
    <sheetView showGridLines="0" workbookViewId="0">
      <selection activeCell="A1" sqref="A1"/>
    </sheetView>
  </sheetViews>
  <sheetFormatPr baseColWidth="8" defaultRowHeight="15"/>
  <cols>
    <col width="34" customWidth="1" min="1" max="1"/>
    <col width="62" customWidth="1" min="2" max="2"/>
    <col width="30" customWidth="1" min="3" max="3"/>
    <col width="46" customWidth="1" min="4" max="4"/>
  </cols>
  <sheetData>
    <row r="1" ht="34" customHeight="1">
      <c r="A1" s="1" t="inlineStr">
        <is>
          <t>宇树科技股份有限公司（688836.SH）经营与财务表现分析底稿</t>
        </is>
      </c>
    </row>
    <row r="2" ht="26" customHeight="1">
      <c r="A2" s="2" t="inlineStr">
        <is>
          <t>本底稿为可编辑分析工作簿：所有『核心计算』表中的比率、增速、倍数均由 Excel 公式实时引用『原始数据』表得出，修改任一原始数据后计算结果与图表会自动重算。</t>
        </is>
      </c>
    </row>
    <row r="4" ht="20" customHeight="1">
      <c r="A4" s="3" t="inlineStr">
        <is>
          <t>一、基本信息</t>
        </is>
      </c>
    </row>
    <row r="5">
      <c r="A5" s="4" t="inlineStr">
        <is>
          <t>发行人全称</t>
        </is>
      </c>
      <c r="B5" s="5" t="inlineStr">
        <is>
          <t>宇树科技股份有限公司（Yushu Technology Co., Ltd.）</t>
        </is>
      </c>
      <c r="C5" s="6" t="inlineStr"/>
      <c r="D5" s="6" t="inlineStr">
        <is>
          <t>S1/S2</t>
        </is>
      </c>
    </row>
    <row r="6">
      <c r="A6" s="4" t="inlineStr">
        <is>
          <t>注册地址</t>
        </is>
      </c>
      <c r="B6" s="5" t="inlineStr">
        <is>
          <t>浙江省杭州市滨江区西兴街道东流路88号1幢</t>
        </is>
      </c>
      <c r="C6" s="6" t="inlineStr"/>
      <c r="D6" s="6" t="inlineStr">
        <is>
          <t>S1/S2</t>
        </is>
      </c>
    </row>
    <row r="7">
      <c r="A7" s="4" t="inlineStr">
        <is>
          <t>证券代码 / 简称</t>
        </is>
      </c>
      <c r="B7" s="5" t="inlineStr">
        <is>
          <t>688836 / 宇树科技-W（“W”标识存在特别表决权安排）</t>
        </is>
      </c>
      <c r="C7" s="6" t="inlineStr"/>
      <c r="D7" s="6" t="inlineStr">
        <is>
          <t>S1/S2</t>
        </is>
      </c>
    </row>
    <row r="8">
      <c r="A8" s="4" t="inlineStr">
        <is>
          <t>上市板块</t>
        </is>
      </c>
      <c r="B8" s="5" t="inlineStr">
        <is>
          <t>上海证券交易所 科创板</t>
        </is>
      </c>
      <c r="C8" s="6" t="inlineStr"/>
      <c r="D8" s="6" t="inlineStr">
        <is>
          <t>S1/S2</t>
        </is>
      </c>
    </row>
    <row r="9">
      <c r="A9" s="4" t="inlineStr">
        <is>
          <t>上市日期</t>
        </is>
      </c>
      <c r="B9" s="5" t="inlineStr">
        <is>
          <t>2026年8月19日</t>
        </is>
      </c>
      <c r="C9" s="6" t="inlineStr"/>
      <c r="D9" s="6" t="inlineStr">
        <is>
          <t>S1/S2</t>
        </is>
      </c>
    </row>
    <row r="10">
      <c r="A10" s="4" t="inlineStr">
        <is>
          <t>主营业务</t>
        </is>
      </c>
      <c r="B10" s="5" t="inlineStr">
        <is>
          <t>高性能通用人形机器人、四足机器人、机器人组件及具身智能模型的研发、生产和销售</t>
        </is>
      </c>
      <c r="C10" s="6" t="inlineStr"/>
      <c r="D10" s="6" t="inlineStr">
        <is>
          <t>S1/S2</t>
        </is>
      </c>
    </row>
    <row r="11">
      <c r="A11" s="4" t="inlineStr">
        <is>
          <t>所属行业（证监会GB/T4754-2017）</t>
        </is>
      </c>
      <c r="B11" s="5" t="inlineStr">
        <is>
          <t>C34 通用设备制造业</t>
        </is>
      </c>
      <c r="C11" s="6" t="inlineStr"/>
      <c r="D11" s="6" t="inlineStr">
        <is>
          <t>S1/S2</t>
        </is>
      </c>
    </row>
    <row r="12">
      <c r="A12" s="4" t="inlineStr">
        <is>
          <t>保荐人（主承销商）</t>
        </is>
      </c>
      <c r="B12" s="5" t="inlineStr">
        <is>
          <t>中信证券股份有限公司</t>
        </is>
      </c>
      <c r="C12" s="6" t="inlineStr"/>
      <c r="D12" s="6" t="inlineStr">
        <is>
          <t>S1/S2</t>
        </is>
      </c>
    </row>
    <row r="13">
      <c r="A13" s="4" t="inlineStr">
        <is>
          <t>会计师事务所</t>
        </is>
      </c>
      <c r="B13" s="5" t="inlineStr">
        <is>
          <t>容诚会计师事务所（特殊普通合伙）</t>
        </is>
      </c>
      <c r="C13" s="6" t="inlineStr"/>
      <c r="D13" s="6" t="inlineStr">
        <is>
          <t>S1/S2</t>
        </is>
      </c>
    </row>
    <row r="14">
      <c r="A14" s="4" t="inlineStr">
        <is>
          <t>发行人律师</t>
        </is>
      </c>
      <c r="B14" s="5" t="inlineStr">
        <is>
          <t>北京德恒律师事务所</t>
        </is>
      </c>
      <c r="C14" s="6" t="inlineStr"/>
      <c r="D14" s="6" t="inlineStr">
        <is>
          <t>S1/S2</t>
        </is>
      </c>
    </row>
    <row r="15">
      <c r="A15" s="4" t="inlineStr">
        <is>
          <t>实际控制人</t>
        </is>
      </c>
      <c r="B15" s="5" t="inlineStr">
        <is>
          <t>王兴兴</t>
        </is>
      </c>
      <c r="C15" s="6" t="inlineStr"/>
      <c r="D15" s="6" t="inlineStr">
        <is>
          <t>S1/S2</t>
        </is>
      </c>
    </row>
    <row r="17" ht="20" customHeight="1">
      <c r="A17" s="3" t="inlineStr">
        <is>
          <t>二、资料截止日与报告期口径（重要）</t>
        </is>
      </c>
    </row>
    <row r="18">
      <c r="A18" s="4" t="inlineStr">
        <is>
          <t>资料截止日</t>
        </is>
      </c>
      <c r="B18" s="5" t="inlineStr">
        <is>
          <t>2026年8月30日</t>
        </is>
      </c>
      <c r="C18" s="6" t="inlineStr"/>
      <c r="D18" s="6" t="inlineStr">
        <is>
          <t>S1/S2</t>
        </is>
      </c>
    </row>
    <row r="19">
      <c r="A19" s="4" t="inlineStr">
        <is>
          <t>审计截止日</t>
        </is>
      </c>
      <c r="B19" s="5" t="inlineStr">
        <is>
          <t>2025年12月31日（三年一期中的“三年”）</t>
        </is>
      </c>
      <c r="C19" s="6" t="inlineStr"/>
      <c r="D19" s="6" t="inlineStr">
        <is>
          <t>S1/S2</t>
        </is>
      </c>
    </row>
    <row r="20">
      <c r="A20" s="4" t="inlineStr">
        <is>
          <t>经审计报告期</t>
        </is>
      </c>
      <c r="B20" s="5" t="inlineStr">
        <is>
          <t>2023年度、2024年度、2025年度（容诚审字[2026]230Z1692号，标准无保留意见）</t>
        </is>
      </c>
      <c r="C20" s="6" t="inlineStr"/>
      <c r="D20" s="6" t="inlineStr">
        <is>
          <t>S1/S2</t>
        </is>
      </c>
    </row>
    <row r="21">
      <c r="A21" s="4" t="inlineStr">
        <is>
          <t>经审阅期间</t>
        </is>
      </c>
      <c r="B21" s="5" t="inlineStr">
        <is>
          <t>2026年1-3月（容诚阅字[2026]230Z0038号）</t>
        </is>
      </c>
      <c r="C21" s="6" t="inlineStr"/>
      <c r="D21" s="6" t="inlineStr">
        <is>
          <t>S1/S2</t>
        </is>
      </c>
    </row>
    <row r="22">
      <c r="A22" s="4" t="inlineStr">
        <is>
          <t>未经审计期间</t>
        </is>
      </c>
      <c r="B22" s="5" t="inlineStr">
        <is>
          <t>2026年1-6月（载于上市公告书；公司明示上市后不再单独披露2026年半年度报告）</t>
        </is>
      </c>
      <c r="C22" s="6" t="inlineStr"/>
      <c r="D22" s="6" t="inlineStr">
        <is>
          <t>S1/S2</t>
        </is>
      </c>
    </row>
    <row r="23">
      <c r="A23" s="4" t="inlineStr">
        <is>
          <t>行情数据截止</t>
        </is>
      </c>
      <c r="B23" s="5" t="inlineStr">
        <is>
          <t>2026年8月28日收盘（截止日前最后一个交易日；8月31日数据超出截止日，本底稿不纳入）</t>
        </is>
      </c>
      <c r="C23" s="6" t="inlineStr"/>
      <c r="D23" s="6" t="inlineStr">
        <is>
          <t>S1/S2</t>
        </is>
      </c>
    </row>
    <row r="25" ht="20" customHeight="1">
      <c r="A25" s="3" t="inlineStr">
        <is>
          <t>三、统一单位与格式约定</t>
        </is>
      </c>
    </row>
    <row r="26">
      <c r="A26" s="4" t="inlineStr">
        <is>
          <t>金额单位</t>
        </is>
      </c>
      <c r="B26" s="5" t="inlineStr">
        <is>
          <t>除特别注明外，全部金额单位为【人民币万元】，与招股说明书披露口径一致</t>
        </is>
      </c>
      <c r="C26" s="6" t="inlineStr"/>
      <c r="D26" s="6" t="inlineStr"/>
    </row>
    <row r="27">
      <c r="A27" s="4" t="inlineStr">
        <is>
          <t>亿元换算</t>
        </is>
      </c>
      <c r="B27" s="5" t="inlineStr">
        <is>
          <t>如需亿元，请在公式中除以10,000；本底稿不混用单位</t>
        </is>
      </c>
      <c r="C27" s="6" t="inlineStr"/>
      <c r="D27" s="6" t="inlineStr"/>
    </row>
    <row r="28">
      <c r="A28" s="4" t="inlineStr">
        <is>
          <t>比率存储方式</t>
        </is>
      </c>
      <c r="B28" s="5" t="inlineStr">
        <is>
          <t>百分比类指标以小数存储（如0.6013），通过单元格格式显示为60.13%</t>
        </is>
      </c>
      <c r="C28" s="6" t="inlineStr"/>
      <c r="D28" s="6" t="inlineStr"/>
    </row>
    <row r="29">
      <c r="A29" s="4" t="inlineStr">
        <is>
          <t>每股指标单位</t>
        </is>
      </c>
      <c r="B29" s="5" t="inlineStr">
        <is>
          <t>元/股</t>
        </is>
      </c>
      <c r="C29" s="6" t="inlineStr"/>
      <c r="D29" s="6" t="inlineStr"/>
    </row>
    <row r="30">
      <c r="A30" s="4" t="inlineStr">
        <is>
          <t>股本单位</t>
        </is>
      </c>
      <c r="B30" s="5" t="inlineStr">
        <is>
          <t>股（发行前后总股本表另以万股列示，已标注）</t>
        </is>
      </c>
      <c r="C30" s="6" t="inlineStr"/>
      <c r="D30" s="6" t="inlineStr"/>
    </row>
    <row r="31">
      <c r="A31" s="4" t="inlineStr">
        <is>
          <t>颜色约定</t>
        </is>
      </c>
      <c r="B31" s="5" t="inlineStr">
        <is>
          <t>蓝色=原始披露数据；绿色=公式计算结果；黄色=口径/提示说明；橙色=需人工核验</t>
        </is>
      </c>
      <c r="C31" s="6" t="inlineStr"/>
      <c r="D31" s="6" t="inlineStr"/>
    </row>
    <row r="33" ht="20" customHeight="1">
      <c r="A33" s="3" t="inlineStr">
        <is>
          <t>四、数据性质分级（严格区分事实与预测）</t>
        </is>
      </c>
    </row>
    <row r="34" ht="30" customHeight="1">
      <c r="A34" s="7" t="inlineStr">
        <is>
          <t>性质代码</t>
        </is>
      </c>
      <c r="B34" s="7" t="inlineStr">
        <is>
          <t>含义</t>
        </is>
      </c>
      <c r="C34" s="7" t="inlineStr">
        <is>
          <t>对应期间</t>
        </is>
      </c>
      <c r="D34" s="7" t="inlineStr">
        <is>
          <t>使用限制</t>
        </is>
      </c>
    </row>
    <row r="35">
      <c r="A35" s="5" t="inlineStr">
        <is>
          <t>A 经审计</t>
        </is>
      </c>
      <c r="B35" s="5" t="inlineStr">
        <is>
          <t>容诚会计师事务所审计，标准无保留意见</t>
        </is>
      </c>
      <c r="C35" s="5" t="inlineStr">
        <is>
          <t>2023/2024/2025年度</t>
        </is>
      </c>
      <c r="D35" s="5" t="inlineStr">
        <is>
          <t>可作为既成事实引用</t>
        </is>
      </c>
    </row>
    <row r="36">
      <c r="A36" s="5" t="inlineStr">
        <is>
          <t>B 经审阅</t>
        </is>
      </c>
      <c r="B36" s="5" t="inlineStr">
        <is>
          <t>容诚会计师事务所审阅（非审计）</t>
        </is>
      </c>
      <c r="C36" s="5" t="inlineStr">
        <is>
          <t>2026年1-3月</t>
        </is>
      </c>
      <c r="D36" s="5" t="inlineStr">
        <is>
          <t>可引用，需注明“经审阅、未经审计”</t>
        </is>
      </c>
    </row>
    <row r="37">
      <c r="A37" s="5" t="inlineStr">
        <is>
          <t>C 未经审计</t>
        </is>
      </c>
      <c r="B37" s="5" t="inlineStr">
        <is>
          <t>公司董事会审议通过并披露，未经审计或审阅</t>
        </is>
      </c>
      <c r="C37" s="5" t="inlineStr">
        <is>
          <t>2026年1-6月</t>
        </is>
      </c>
      <c r="D37" s="5" t="inlineStr">
        <is>
          <t>可引用，必须注明“未经审计”</t>
        </is>
      </c>
    </row>
    <row r="38">
      <c r="A38" s="5" t="inlineStr">
        <is>
          <t>D 管理层预计</t>
        </is>
      </c>
      <c r="B38" s="4" t="inlineStr">
        <is>
          <t>招股说明书中管理层对2026年1-6月的合理估计，公司明示不构成盈利预测或业绩承诺</t>
        </is>
      </c>
      <c r="C38" s="5" t="inlineStr">
        <is>
          <t>2026年1-6月（预计区间）</t>
        </is>
      </c>
      <c r="D38" s="5" t="inlineStr">
        <is>
          <t>严禁表述为已发生事实；本底稿单列于表3-4并全程标注</t>
        </is>
      </c>
    </row>
    <row r="39">
      <c r="A39" s="5" t="inlineStr">
        <is>
          <t>E 分析师测算</t>
        </is>
      </c>
      <c r="B39" s="5" t="inlineStr">
        <is>
          <t>本底稿基于披露数据自行推算（如年化、倍数），非公司指引</t>
        </is>
      </c>
      <c r="C39" s="5" t="inlineStr">
        <is>
          <t>视指标而定</t>
        </is>
      </c>
      <c r="D39" s="5" t="inlineStr">
        <is>
          <t>必须标注“测算”，不得归因于公司</t>
        </is>
      </c>
    </row>
    <row r="41" ht="52" customHeight="1">
      <c r="A41" s="8" t="inlineStr">
        <is>
          <t>特别提示：招股说明书披露的“2026年1-6月财务数据预计”属于性质D，原文载明“为管理层对经营状况的合理估计，不代表公司最终实现的营业收入及净利润，相关数据未经会计师审计或审阅，不构成公司的盈利预测或业绩承诺”。该预计区间（营业收入105,200万至112,800万元）与上市公告书披露的实际数（115,224.56万元）不同，本底稿在表7-8中将两者并列对比，不得互相替代。</t>
        </is>
      </c>
    </row>
    <row r="43" ht="20" customHeight="1">
      <c r="A43" s="3" t="inlineStr">
        <is>
          <t>五、免责声明</t>
        </is>
      </c>
    </row>
    <row r="44" ht="26" customHeight="1">
      <c r="A44" s="9" t="inlineStr">
        <is>
          <t>本底稿仅为基于公开披露文件的信息整理与财务分析工作底稿，不构成任何证券投资建议、评级或估值结论。所有数据以上海证券交易所披露的正式文件为准；使用前请完成表『10_待人工核验』中列示的核对事项。</t>
        </is>
      </c>
    </row>
  </sheetData>
  <mergeCells count="9">
    <mergeCell ref="A1:D1"/>
    <mergeCell ref="A17:D17"/>
    <mergeCell ref="A4:D4"/>
    <mergeCell ref="A25:D25"/>
    <mergeCell ref="A43:D43"/>
    <mergeCell ref="A41:D41"/>
    <mergeCell ref="A2:D2"/>
    <mergeCell ref="A33:D33"/>
    <mergeCell ref="A44:D44"/>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H15"/>
  <sheetViews>
    <sheetView showGridLines="0" workbookViewId="0">
      <selection activeCell="A1" sqref="A1"/>
    </sheetView>
  </sheetViews>
  <sheetFormatPr baseColWidth="8" defaultRowHeight="15"/>
  <cols>
    <col width="10" customWidth="1" min="1" max="1"/>
    <col width="46" customWidth="1" min="2" max="2"/>
    <col width="22" customWidth="1" min="3" max="3"/>
    <col width="12" customWidth="1" min="4" max="4"/>
    <col width="12" customWidth="1" min="5" max="5"/>
    <col width="30" customWidth="1" min="6" max="6"/>
    <col width="34" customWidth="1" min="7" max="7"/>
    <col width="26" customWidth="1" min="8" max="8"/>
  </cols>
  <sheetData>
    <row r="1" ht="26" customHeight="1">
      <c r="A1" s="1" t="inlineStr">
        <is>
          <t>资料来源清单（按权威等级排序）</t>
        </is>
      </c>
    </row>
    <row r="2" ht="26" customHeight="1">
      <c r="A2" s="9" t="inlineStr">
        <is>
          <t>编号 S1–S8 为上海证券交易所法定信息披露文件（一手来源，权威等级最高）；S9 为行情数据（第三方，仅用于市场表现）；S10 为公司官方渠道（本次分析未直接引用，列入待补）。全表“本底稿引用位置”列指明该来源支撑的数据表。</t>
        </is>
      </c>
    </row>
    <row r="3" ht="30" customHeight="1">
      <c r="A3" s="7" t="inlineStr">
        <is>
          <t>来源编号</t>
        </is>
      </c>
      <c r="B3" s="7" t="inlineStr">
        <is>
          <t>文件名称</t>
        </is>
      </c>
      <c r="C3" s="7" t="inlineStr">
        <is>
          <t>披露/发布主体</t>
        </is>
      </c>
      <c r="D3" s="7" t="inlineStr">
        <is>
          <t>披露日期</t>
        </is>
      </c>
      <c r="E3" s="7" t="inlineStr">
        <is>
          <t>权威等级</t>
        </is>
      </c>
      <c r="F3" s="7" t="inlineStr">
        <is>
          <t>文件标识（art_code / 文号）</t>
        </is>
      </c>
      <c r="G3" s="7" t="inlineStr">
        <is>
          <t>获取路径</t>
        </is>
      </c>
      <c r="H3" s="7" t="inlineStr">
        <is>
          <t>本底稿引用位置</t>
        </is>
      </c>
    </row>
    <row r="4">
      <c r="A4" s="5" t="inlineStr">
        <is>
          <t>S1</t>
        </is>
      </c>
      <c r="B4" s="4" t="inlineStr">
        <is>
          <t>宇树科技股份有限公司首次公开发行股票并在科创板上市招股说明书</t>
        </is>
      </c>
      <c r="C4" s="5" t="inlineStr">
        <is>
          <t>宇树科技（上交所披露）</t>
        </is>
      </c>
      <c r="D4" s="5" t="inlineStr">
        <is>
          <t>2026-08-14</t>
        </is>
      </c>
      <c r="E4" s="5" t="inlineStr">
        <is>
          <t>一手·法定披露</t>
        </is>
      </c>
      <c r="F4" s="4" t="inlineStr">
        <is>
          <t>AN202608131827947910（382页PDF）</t>
        </is>
      </c>
      <c r="G4" s="4" t="inlineStr">
        <is>
          <t>东方财富披露镜像 pdf.dfcfw.com/pdf/H2_AN202608131827947910_1.pdf；原件应核 www.sse.com.cn</t>
        </is>
      </c>
      <c r="H4" s="4" t="inlineStr">
        <is>
          <t>表3-1、3-2、3-4；表4-1~4-7；表5-1~5-3；表6-1、6-3</t>
        </is>
      </c>
    </row>
    <row r="5">
      <c r="A5" s="5" t="inlineStr">
        <is>
          <t>S2</t>
        </is>
      </c>
      <c r="B5" s="5" t="inlineStr">
        <is>
          <t>宇树科技首次公开发行股票科创板上市公告书</t>
        </is>
      </c>
      <c r="C5" s="5" t="inlineStr">
        <is>
          <t>宇树科技（上交所披露）</t>
        </is>
      </c>
      <c r="D5" s="5" t="inlineStr">
        <is>
          <t>2026-08-18</t>
        </is>
      </c>
      <c r="E5" s="5" t="inlineStr">
        <is>
          <t>一手·法定披露</t>
        </is>
      </c>
      <c r="F5" s="5" t="inlineStr">
        <is>
          <t>AN202608171828062024（90页PDF）</t>
        </is>
      </c>
      <c r="G5" s="4" t="inlineStr">
        <is>
          <t>东方财富披露镜像 pdf.dfcfw.com/pdf/H2_AN202608171828062024_1.pdf；原件应核 www.sse.com.cn</t>
        </is>
      </c>
      <c r="H5" s="5" t="inlineStr">
        <is>
          <t>表2-1；表3-3；表6-2、6-4</t>
        </is>
      </c>
    </row>
    <row r="6">
      <c r="A6" s="5" t="inlineStr">
        <is>
          <t>S3</t>
        </is>
      </c>
      <c r="B6" s="5" t="inlineStr">
        <is>
          <t>宇树科技首次公开发行股票科创板上市公告书提示性公告</t>
        </is>
      </c>
      <c r="C6" s="5" t="inlineStr">
        <is>
          <t>宇树科技（上交所披露）</t>
        </is>
      </c>
      <c r="D6" s="5" t="inlineStr">
        <is>
          <t>2026-08-18</t>
        </is>
      </c>
      <c r="E6" s="5" t="inlineStr">
        <is>
          <t>一手·法定披露</t>
        </is>
      </c>
      <c r="F6" s="5" t="inlineStr">
        <is>
          <t>AN202608171828062022</t>
        </is>
      </c>
      <c r="G6" s="5" t="inlineStr">
        <is>
          <t>东方财富披露镜像</t>
        </is>
      </c>
      <c r="H6" s="5" t="inlineStr">
        <is>
          <t>发行市盈率四口径、市销率、市净率交叉验证</t>
        </is>
      </c>
    </row>
    <row r="7">
      <c r="A7" s="5" t="inlineStr">
        <is>
          <t>S4</t>
        </is>
      </c>
      <c r="B7" s="5" t="inlineStr">
        <is>
          <t>宇树科技首次公开发行股票并在科创板上市发行结果公告</t>
        </is>
      </c>
      <c r="C7" s="5" t="inlineStr">
        <is>
          <t>宇树科技（上交所披露）</t>
        </is>
      </c>
      <c r="D7" s="5" t="inlineStr">
        <is>
          <t>2026-08-14</t>
        </is>
      </c>
      <c r="E7" s="5" t="inlineStr">
        <is>
          <t>一手·法定披露</t>
        </is>
      </c>
      <c r="F7" s="5" t="inlineStr">
        <is>
          <t>AN202608131827947823</t>
        </is>
      </c>
      <c r="G7" s="5" t="inlineStr">
        <is>
          <t>东方财富披露镜像</t>
        </is>
      </c>
      <c r="H7" s="5" t="inlineStr">
        <is>
          <t>募集资金总额/净额、发行费用交叉验证</t>
        </is>
      </c>
    </row>
    <row r="8">
      <c r="A8" s="5" t="inlineStr">
        <is>
          <t>S5</t>
        </is>
      </c>
      <c r="B8" s="5" t="inlineStr">
        <is>
          <t>宇树科技首次公开发行股票并在科创板上市发行公告</t>
        </is>
      </c>
      <c r="C8" s="5" t="inlineStr">
        <is>
          <t>宇树科技（上交所披露）</t>
        </is>
      </c>
      <c r="D8" s="5" t="inlineStr">
        <is>
          <t>2026-08-07</t>
        </is>
      </c>
      <c r="E8" s="5" t="inlineStr">
        <is>
          <t>一手·法定披露</t>
        </is>
      </c>
      <c r="F8" s="5" t="inlineStr">
        <is>
          <t>AN202608061827718855</t>
        </is>
      </c>
      <c r="G8" s="5" t="inlineStr">
        <is>
          <t>东方财富披露镜像</t>
        </is>
      </c>
      <c r="H8" s="5" t="inlineStr">
        <is>
          <t>发行价格确定、行业市盈率、可比公司市销率</t>
        </is>
      </c>
    </row>
    <row r="9">
      <c r="A9" s="5" t="inlineStr">
        <is>
          <t>S6</t>
        </is>
      </c>
      <c r="B9" s="5" t="inlineStr">
        <is>
          <t>宇树科技首次公开发行股票并在科创板上市招股意向书</t>
        </is>
      </c>
      <c r="C9" s="5" t="inlineStr">
        <is>
          <t>宇树科技（上交所披露）</t>
        </is>
      </c>
      <c r="D9" s="5" t="inlineStr">
        <is>
          <t>2026-07-31</t>
        </is>
      </c>
      <c r="E9" s="5" t="inlineStr">
        <is>
          <t>一手·法定披露</t>
        </is>
      </c>
      <c r="F9" s="5" t="inlineStr">
        <is>
          <t>AN202607301827499558</t>
        </is>
      </c>
      <c r="G9" s="5" t="inlineStr">
        <is>
          <t>东方财富披露镜像</t>
        </is>
      </c>
      <c r="H9" s="5" t="inlineStr">
        <is>
          <t>审计报告/审阅报告全文附录（未逐页引用）</t>
        </is>
      </c>
    </row>
    <row r="10">
      <c r="A10" s="5" t="inlineStr">
        <is>
          <t>S7</t>
        </is>
      </c>
      <c r="B10" s="5" t="inlineStr">
        <is>
          <t>关于同意宇树科技股份有限公司首次公开发行股票注册的批复</t>
        </is>
      </c>
      <c r="C10" s="5" t="inlineStr">
        <is>
          <t>中国证监会</t>
        </is>
      </c>
      <c r="D10" s="5" t="inlineStr">
        <is>
          <t>2026-07-02</t>
        </is>
      </c>
      <c r="E10" s="5" t="inlineStr">
        <is>
          <t>一手·监管文件</t>
        </is>
      </c>
      <c r="F10" s="5" t="inlineStr">
        <is>
          <t>AN202607061826748666</t>
        </is>
      </c>
      <c r="G10" s="5" t="inlineStr">
        <is>
          <t>东方财富披露镜像</t>
        </is>
      </c>
      <c r="H10" s="5" t="inlineStr">
        <is>
          <t>注册生效时点</t>
        </is>
      </c>
    </row>
    <row r="11">
      <c r="A11" s="5" t="inlineStr">
        <is>
          <t>S8</t>
        </is>
      </c>
      <c r="B11" s="4" t="inlineStr">
        <is>
          <t>上海证券交易所上市审核委员会2026年第31次审议会议结果公告</t>
        </is>
      </c>
      <c r="C11" s="5" t="inlineStr">
        <is>
          <t>上海证券交易所</t>
        </is>
      </c>
      <c r="D11" s="5" t="inlineStr">
        <is>
          <t>2026-06-01</t>
        </is>
      </c>
      <c r="E11" s="5" t="inlineStr">
        <is>
          <t>一手·监管文件</t>
        </is>
      </c>
      <c r="F11" s="5" t="inlineStr">
        <is>
          <t>AN202606011823128106</t>
        </is>
      </c>
      <c r="G11" s="5" t="inlineStr">
        <is>
          <t>东方财富披露镜像</t>
        </is>
      </c>
      <c r="H11" s="5" t="inlineStr">
        <is>
          <t>过会时点</t>
        </is>
      </c>
    </row>
    <row r="12">
      <c r="A12" s="10" t="inlineStr">
        <is>
          <t>S9</t>
        </is>
      </c>
      <c r="B12" s="11" t="inlineStr">
        <is>
          <t>688836 日K线行情（2026-08-19至2026-08-28）</t>
        </is>
      </c>
      <c r="C12" s="11" t="inlineStr">
        <is>
          <t>东方财富行情接口 push2his.eastmoney.com</t>
        </is>
      </c>
      <c r="D12" s="10" t="inlineStr">
        <is>
          <t>2026-08-28</t>
        </is>
      </c>
      <c r="E12" s="10" t="inlineStr">
        <is>
          <t>第三方·行情</t>
        </is>
      </c>
      <c r="F12" s="11" t="inlineStr">
        <is>
          <t>secid=1.688836, klt=101, fqt=0</t>
        </is>
      </c>
      <c r="G12" s="10" t="inlineStr">
        <is>
          <t>接口直接取数</t>
        </is>
      </c>
      <c r="H12" s="10" t="inlineStr">
        <is>
          <t>表2-2；图8</t>
        </is>
      </c>
    </row>
    <row r="13">
      <c r="A13" s="10" t="inlineStr">
        <is>
          <t>S10</t>
        </is>
      </c>
      <c r="B13" s="10" t="inlineStr">
        <is>
          <t>宇树科技官方网站 / 官方公众号</t>
        </is>
      </c>
      <c r="C13" s="10" t="inlineStr">
        <is>
          <t>宇树科技</t>
        </is>
      </c>
      <c r="D13" s="10" t="inlineStr">
        <is>
          <t>—</t>
        </is>
      </c>
      <c r="E13" s="10" t="inlineStr">
        <is>
          <t>公司官方·待补</t>
        </is>
      </c>
      <c r="F13" s="10" t="inlineStr">
        <is>
          <t>未取用</t>
        </is>
      </c>
      <c r="G13" s="10" t="inlineStr">
        <is>
          <t>本次分析未直接引用</t>
        </is>
      </c>
      <c r="H13" s="10" t="inlineStr">
        <is>
          <t>列入待核验：产品定价、出货量口径、官网披露与招股书差异</t>
        </is>
      </c>
    </row>
    <row r="15" ht="15" customHeight="1">
      <c r="A15" s="2" t="inlineStr">
        <is>
          <t>取数说明：S1、S2 为本底稿的绝对主来源，全部财务与业务数据均逐字提取自该两份 PDF 原文表格，未采用任何媒体转述数值。分析过程中曾出现媒体转述数据与原文冲突的情况（详见表10），均已以 S1/S2 原文为准修正。</t>
        </is>
      </c>
    </row>
  </sheetData>
  <mergeCells count="3">
    <mergeCell ref="A15:H15"/>
    <mergeCell ref="A2:H2"/>
    <mergeCell ref="A1:H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K74"/>
  <sheetViews>
    <sheetView showGridLines="0" workbookViewId="0">
      <selection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8" customWidth="1" min="7" max="7"/>
    <col width="10" customWidth="1" min="8" max="8"/>
    <col width="11" customWidth="1" min="9" max="9"/>
    <col width="11" customWidth="1" min="10" max="10"/>
    <col width="11" customWidth="1" min="11" max="11"/>
  </cols>
  <sheetData>
    <row r="1" ht="26" customHeight="1">
      <c r="A1" s="1" t="inlineStr">
        <is>
          <t>表2-1 本次发行与上市基本情况（原始披露数据）</t>
        </is>
      </c>
    </row>
    <row r="2" ht="30" customHeight="1">
      <c r="A2" s="7" t="inlineStr">
        <is>
          <t>项目</t>
        </is>
      </c>
      <c r="B2" s="7" t="inlineStr">
        <is>
          <t>数值</t>
        </is>
      </c>
      <c r="C2" s="7" t="inlineStr">
        <is>
          <t>数据性质</t>
        </is>
      </c>
      <c r="D2" s="7" t="inlineStr">
        <is>
          <t>来源</t>
        </is>
      </c>
    </row>
    <row r="3" ht="20" customHeight="1">
      <c r="A3" s="3" t="inlineStr">
        <is>
          <t>【发行方案】</t>
        </is>
      </c>
    </row>
    <row r="4">
      <c r="A4" s="4" t="inlineStr">
        <is>
          <t>每股面值（元）</t>
        </is>
      </c>
      <c r="B4" s="12" t="n">
        <v>1</v>
      </c>
      <c r="C4" s="6" t="inlineStr">
        <is>
          <t>A</t>
        </is>
      </c>
      <c r="D4" s="6" t="inlineStr">
        <is>
          <t>S2</t>
        </is>
      </c>
    </row>
    <row r="5">
      <c r="A5" s="4" t="inlineStr">
        <is>
          <t>发行价格（元/股）</t>
        </is>
      </c>
      <c r="B5" s="12" t="n">
        <v>150.8</v>
      </c>
      <c r="C5" s="6" t="inlineStr">
        <is>
          <t>A</t>
        </is>
      </c>
      <c r="D5" s="6" t="inlineStr">
        <is>
          <t>S2</t>
        </is>
      </c>
    </row>
    <row r="6">
      <c r="A6" s="4" t="inlineStr">
        <is>
          <t>发行股票数量（股）</t>
        </is>
      </c>
      <c r="B6" s="13" t="n">
        <v>40446434</v>
      </c>
      <c r="C6" s="6" t="inlineStr">
        <is>
          <t>A</t>
        </is>
      </c>
      <c r="D6" s="6" t="inlineStr">
        <is>
          <t>S2</t>
        </is>
      </c>
    </row>
    <row r="7">
      <c r="A7" s="4" t="inlineStr">
        <is>
          <t>发行股票数量（万股）</t>
        </is>
      </c>
      <c r="B7" s="12" t="n">
        <v>4044.6434</v>
      </c>
      <c r="C7" s="6" t="inlineStr">
        <is>
          <t>A</t>
        </is>
      </c>
      <c r="D7" s="6" t="inlineStr">
        <is>
          <t>S2</t>
        </is>
      </c>
    </row>
    <row r="8">
      <c r="A8" s="4" t="inlineStr">
        <is>
          <t>新股发行占发行后总股本比例</t>
        </is>
      </c>
      <c r="B8" s="14" t="n">
        <v>0.1</v>
      </c>
      <c r="C8" s="6" t="inlineStr">
        <is>
          <t>A</t>
        </is>
      </c>
      <c r="D8" s="6" t="inlineStr">
        <is>
          <t>S2</t>
        </is>
      </c>
    </row>
    <row r="9">
      <c r="A9" s="4" t="inlineStr">
        <is>
          <t>发行前总股本（万股）</t>
        </is>
      </c>
      <c r="B9" s="12" t="n">
        <v>36401.7906</v>
      </c>
      <c r="C9" s="6" t="inlineStr">
        <is>
          <t>A</t>
        </is>
      </c>
      <c r="D9" s="6" t="inlineStr">
        <is>
          <t>S1</t>
        </is>
      </c>
    </row>
    <row r="10">
      <c r="A10" s="4" t="inlineStr">
        <is>
          <t>发行后总股本（股）</t>
        </is>
      </c>
      <c r="B10" s="13" t="n">
        <v>404464340</v>
      </c>
      <c r="C10" s="6" t="inlineStr">
        <is>
          <t>A</t>
        </is>
      </c>
      <c r="D10" s="6" t="inlineStr">
        <is>
          <t>S2</t>
        </is>
      </c>
    </row>
    <row r="11">
      <c r="A11" s="4" t="inlineStr">
        <is>
          <t>发行后总股本（万股）</t>
        </is>
      </c>
      <c r="B11" s="12" t="n">
        <v>40446.434</v>
      </c>
      <c r="C11" s="6" t="inlineStr">
        <is>
          <t>A</t>
        </is>
      </c>
      <c r="D11" s="6" t="inlineStr">
        <is>
          <t>S2</t>
        </is>
      </c>
    </row>
    <row r="12">
      <c r="A12" s="4" t="inlineStr">
        <is>
          <t>是否涉及老股转让</t>
        </is>
      </c>
      <c r="B12" s="5" t="inlineStr">
        <is>
          <t>否</t>
        </is>
      </c>
      <c r="C12" s="6" t="inlineStr">
        <is>
          <t>A</t>
        </is>
      </c>
      <c r="D12" s="6" t="inlineStr">
        <is>
          <t>S2</t>
        </is>
      </c>
    </row>
    <row r="13">
      <c r="A13" s="4" t="inlineStr">
        <is>
          <t>是否行使超额配售选择权</t>
        </is>
      </c>
      <c r="B13" s="5" t="inlineStr">
        <is>
          <t>否</t>
        </is>
      </c>
      <c r="C13" s="6" t="inlineStr">
        <is>
          <t>A</t>
        </is>
      </c>
      <c r="D13" s="6" t="inlineStr">
        <is>
          <t>S2</t>
        </is>
      </c>
    </row>
    <row r="14" ht="20" customHeight="1">
      <c r="A14" s="3" t="inlineStr">
        <is>
          <t>【发行方式与结果】</t>
        </is>
      </c>
    </row>
    <row r="15">
      <c r="A15" s="4" t="inlineStr">
        <is>
          <t>最终战略配售数量（股）</t>
        </is>
      </c>
      <c r="B15" s="13" t="n">
        <v>8089286</v>
      </c>
      <c r="C15" s="6" t="inlineStr">
        <is>
          <t>A</t>
        </is>
      </c>
      <c r="D15" s="6" t="inlineStr">
        <is>
          <t>S2</t>
        </is>
      </c>
    </row>
    <row r="16">
      <c r="A16" s="4" t="inlineStr">
        <is>
          <t>战略配售占本次发行数量比例</t>
        </is>
      </c>
      <c r="B16" s="14" t="n">
        <v>0.2</v>
      </c>
      <c r="C16" s="6" t="inlineStr">
        <is>
          <t>A</t>
        </is>
      </c>
      <c r="D16" s="6" t="inlineStr">
        <is>
          <t>S2</t>
        </is>
      </c>
    </row>
    <row r="17">
      <c r="A17" s="4" t="inlineStr">
        <is>
          <t>网下最终发行数量（股）</t>
        </is>
      </c>
      <c r="B17" s="13" t="n">
        <v>22650148</v>
      </c>
      <c r="C17" s="6" t="inlineStr">
        <is>
          <t>A</t>
        </is>
      </c>
      <c r="D17" s="6" t="inlineStr">
        <is>
          <t>S2</t>
        </is>
      </c>
    </row>
    <row r="18">
      <c r="A18" s="4" t="inlineStr">
        <is>
          <t>网下投资者缴款认购（股）</t>
        </is>
      </c>
      <c r="B18" s="13" t="n">
        <v>22650148</v>
      </c>
      <c r="C18" s="6" t="inlineStr">
        <is>
          <t>A</t>
        </is>
      </c>
      <c r="D18" s="6" t="inlineStr">
        <is>
          <t>S2</t>
        </is>
      </c>
    </row>
    <row r="19">
      <c r="A19" s="4" t="inlineStr">
        <is>
          <t>网下放弃认购（股）</t>
        </is>
      </c>
      <c r="B19" s="13" t="n">
        <v>0</v>
      </c>
      <c r="C19" s="6" t="inlineStr">
        <is>
          <t>A</t>
        </is>
      </c>
      <c r="D19" s="6" t="inlineStr">
        <is>
          <t>S2</t>
        </is>
      </c>
    </row>
    <row r="20">
      <c r="A20" s="4" t="inlineStr">
        <is>
          <t>网上最终发行数量（股）</t>
        </is>
      </c>
      <c r="B20" s="13" t="n">
        <v>9707000</v>
      </c>
      <c r="C20" s="6" t="inlineStr">
        <is>
          <t>A</t>
        </is>
      </c>
      <c r="D20" s="6" t="inlineStr">
        <is>
          <t>S2</t>
        </is>
      </c>
    </row>
    <row r="21">
      <c r="A21" s="4" t="inlineStr">
        <is>
          <t>网上投资者缴款认购（股）</t>
        </is>
      </c>
      <c r="B21" s="13" t="n">
        <v>9698266</v>
      </c>
      <c r="C21" s="6" t="inlineStr">
        <is>
          <t>A</t>
        </is>
      </c>
      <c r="D21" s="6" t="inlineStr">
        <is>
          <t>S2</t>
        </is>
      </c>
    </row>
    <row r="22">
      <c r="A22" s="4" t="inlineStr">
        <is>
          <t>网上放弃认购（股）</t>
        </is>
      </c>
      <c r="B22" s="13" t="n">
        <v>8734</v>
      </c>
      <c r="C22" s="6" t="inlineStr">
        <is>
          <t>A</t>
        </is>
      </c>
      <c r="D22" s="6" t="inlineStr">
        <is>
          <t>S2</t>
        </is>
      </c>
    </row>
    <row r="23">
      <c r="A23" s="4" t="inlineStr">
        <is>
          <t>保荐人（主承销商）包销数量（股）</t>
        </is>
      </c>
      <c r="B23" s="13" t="n">
        <v>8734</v>
      </c>
      <c r="C23" s="6" t="inlineStr">
        <is>
          <t>A</t>
        </is>
      </c>
      <c r="D23" s="6" t="inlineStr">
        <is>
          <t>S2</t>
        </is>
      </c>
    </row>
    <row r="24">
      <c r="A24" s="4" t="inlineStr">
        <is>
          <t>发行后股东户数（户）</t>
        </is>
      </c>
      <c r="B24" s="13" t="n">
        <v>27666</v>
      </c>
      <c r="C24" s="6" t="inlineStr">
        <is>
          <t>A</t>
        </is>
      </c>
      <c r="D24" s="6" t="inlineStr">
        <is>
          <t>S2</t>
        </is>
      </c>
    </row>
    <row r="25" ht="20" customHeight="1">
      <c r="A25" s="3" t="inlineStr">
        <is>
          <t>【募集资金】</t>
        </is>
      </c>
    </row>
    <row r="26">
      <c r="A26" s="4" t="inlineStr">
        <is>
          <t>募集资金总额（万元）</t>
        </is>
      </c>
      <c r="B26" s="12" t="n">
        <v>609932.22</v>
      </c>
      <c r="C26" s="6" t="inlineStr">
        <is>
          <t>A</t>
        </is>
      </c>
      <c r="D26" s="6" t="inlineStr">
        <is>
          <t>S2</t>
        </is>
      </c>
    </row>
    <row r="27">
      <c r="A27" s="4" t="inlineStr">
        <is>
          <t>发行费用合计（不含增值税，万元）</t>
        </is>
      </c>
      <c r="B27" s="12" t="n">
        <v>18217.31</v>
      </c>
      <c r="C27" s="6" t="inlineStr">
        <is>
          <t>A</t>
        </is>
      </c>
      <c r="D27" s="6" t="inlineStr">
        <is>
          <t>S2</t>
        </is>
      </c>
    </row>
    <row r="28">
      <c r="A28" s="4" t="inlineStr">
        <is>
          <t xml:space="preserve">　承销及保荐费（万元）</t>
        </is>
      </c>
      <c r="B28" s="12" t="n">
        <v>14499.32</v>
      </c>
      <c r="C28" s="6" t="inlineStr">
        <is>
          <t>A</t>
        </is>
      </c>
      <c r="D28" s="6" t="inlineStr">
        <is>
          <t>S2</t>
        </is>
      </c>
    </row>
    <row r="29">
      <c r="A29" s="4" t="inlineStr">
        <is>
          <t xml:space="preserve">　审计及验资费（万元）</t>
        </is>
      </c>
      <c r="B29" s="12" t="n">
        <v>1828.3</v>
      </c>
      <c r="C29" s="6" t="inlineStr">
        <is>
          <t>A</t>
        </is>
      </c>
      <c r="D29" s="6" t="inlineStr">
        <is>
          <t>S2</t>
        </is>
      </c>
    </row>
    <row r="30">
      <c r="A30" s="4" t="inlineStr">
        <is>
          <t xml:space="preserve">　律师费（万元）</t>
        </is>
      </c>
      <c r="B30" s="12" t="n">
        <v>1100</v>
      </c>
      <c r="C30" s="6" t="inlineStr">
        <is>
          <t>A</t>
        </is>
      </c>
      <c r="D30" s="6" t="inlineStr">
        <is>
          <t>S2</t>
        </is>
      </c>
    </row>
    <row r="31">
      <c r="A31" s="4" t="inlineStr">
        <is>
          <t xml:space="preserve">　用于本次发行的信息披露费（万元）</t>
        </is>
      </c>
      <c r="B31" s="12" t="n">
        <v>603.77</v>
      </c>
      <c r="C31" s="6" t="inlineStr">
        <is>
          <t>A</t>
        </is>
      </c>
      <c r="D31" s="6" t="inlineStr">
        <is>
          <t>S2</t>
        </is>
      </c>
    </row>
    <row r="32">
      <c r="A32" s="4" t="inlineStr">
        <is>
          <t xml:space="preserve">　发行手续费及其他费用（万元）</t>
        </is>
      </c>
      <c r="B32" s="12" t="n">
        <v>185.91</v>
      </c>
      <c r="C32" s="6" t="inlineStr">
        <is>
          <t>A</t>
        </is>
      </c>
      <c r="D32" s="6" t="inlineStr">
        <is>
          <t>S2</t>
        </is>
      </c>
    </row>
    <row r="33">
      <c r="A33" s="4" t="inlineStr">
        <is>
          <t>募集资金净额（万元）</t>
        </is>
      </c>
      <c r="B33" s="12" t="n">
        <v>591714.92</v>
      </c>
      <c r="C33" s="6" t="inlineStr">
        <is>
          <t>A</t>
        </is>
      </c>
      <c r="D33" s="6" t="inlineStr">
        <is>
          <t>S2</t>
        </is>
      </c>
    </row>
    <row r="34">
      <c r="A34" s="4" t="inlineStr">
        <is>
          <t>验资报告</t>
        </is>
      </c>
      <c r="B34" s="5" t="inlineStr">
        <is>
          <t>容诚验字[2026]230Z0118号（2026年8月14日出具）</t>
        </is>
      </c>
      <c r="C34" s="6" t="inlineStr">
        <is>
          <t>A</t>
        </is>
      </c>
      <c r="D34" s="6" t="inlineStr">
        <is>
          <t>S2</t>
        </is>
      </c>
    </row>
    <row r="35" ht="20" customHeight="1">
      <c r="A35" s="3" t="inlineStr">
        <is>
          <t>【发行估值倍数（按发行价150.80元/股）】</t>
        </is>
      </c>
    </row>
    <row r="36">
      <c r="A36" s="4" t="inlineStr">
        <is>
          <t>发行市盈率①：2025年扣非后归母净利 ÷ 发行前总股本</t>
        </is>
      </c>
      <c r="B36" s="12" t="n">
        <v>92.92</v>
      </c>
      <c r="C36" s="6" t="inlineStr">
        <is>
          <t>A</t>
        </is>
      </c>
      <c r="D36" s="6" t="inlineStr">
        <is>
          <t>S2/S3</t>
        </is>
      </c>
    </row>
    <row r="37">
      <c r="A37" s="4" t="inlineStr">
        <is>
          <t>发行市盈率②：2025年扣非前归母净利 ÷ 发行前总股本</t>
        </is>
      </c>
      <c r="B37" s="12" t="n">
        <v>197.31</v>
      </c>
      <c r="C37" s="6" t="inlineStr">
        <is>
          <t>A</t>
        </is>
      </c>
      <c r="D37" s="6" t="inlineStr">
        <is>
          <t>S2/S3</t>
        </is>
      </c>
    </row>
    <row r="38">
      <c r="A38" s="4" t="inlineStr">
        <is>
          <t>发行市盈率③：2025年扣非后归母净利 ÷ 发行后总股本</t>
        </is>
      </c>
      <c r="B38" s="12" t="n">
        <v>103.25</v>
      </c>
      <c r="C38" s="6" t="inlineStr">
        <is>
          <t>A</t>
        </is>
      </c>
      <c r="D38" s="6" t="inlineStr">
        <is>
          <t>S2/S3</t>
        </is>
      </c>
    </row>
    <row r="39">
      <c r="A39" s="4" t="inlineStr">
        <is>
          <t>发行市盈率④：2025年扣非前归母净利 ÷ 发行后总股本（公告口径“本次发行市盈率”，按孰低）</t>
        </is>
      </c>
      <c r="B39" s="12" t="n">
        <v>219.23</v>
      </c>
      <c r="C39" s="6" t="inlineStr">
        <is>
          <t>A</t>
        </is>
      </c>
      <c r="D39" s="6" t="inlineStr">
        <is>
          <t>S2/S3</t>
        </is>
      </c>
    </row>
    <row r="40">
      <c r="A40" s="4" t="inlineStr">
        <is>
          <t>发行市销率①：2025年营业收入 ÷ 发行前总股本</t>
        </is>
      </c>
      <c r="B40" s="12" t="n">
        <v>32.3</v>
      </c>
      <c r="C40" s="6" t="inlineStr">
        <is>
          <t>A</t>
        </is>
      </c>
      <c r="D40" s="6" t="inlineStr">
        <is>
          <t>S2</t>
        </is>
      </c>
    </row>
    <row r="41">
      <c r="A41" s="4" t="inlineStr">
        <is>
          <t>发行市销率②：2025年营业收入 ÷ 发行后总股本（摊薄后静态）</t>
        </is>
      </c>
      <c r="B41" s="12" t="n">
        <v>35.89</v>
      </c>
      <c r="C41" s="6" t="inlineStr">
        <is>
          <t>A</t>
        </is>
      </c>
      <c r="D41" s="6" t="inlineStr">
        <is>
          <t>S2</t>
        </is>
      </c>
    </row>
    <row r="42">
      <c r="A42" s="4" t="inlineStr">
        <is>
          <t>发行市净率（发行价 ÷ 发行后每股净资产）</t>
        </is>
      </c>
      <c r="B42" s="12" t="n">
        <v>7.16</v>
      </c>
      <c r="C42" s="6" t="inlineStr">
        <is>
          <t>A</t>
        </is>
      </c>
      <c r="D42" s="6" t="inlineStr">
        <is>
          <t>S2</t>
        </is>
      </c>
    </row>
    <row r="43">
      <c r="A43" s="4" t="inlineStr">
        <is>
          <t>发行后每股收益（元/股，按2025年扣非前后孰低归母净利）</t>
        </is>
      </c>
      <c r="B43" s="14" t="n">
        <v>0.6899999999999999</v>
      </c>
      <c r="C43" s="6" t="inlineStr">
        <is>
          <t>A</t>
        </is>
      </c>
      <c r="D43" s="6" t="inlineStr">
        <is>
          <t>S2</t>
        </is>
      </c>
    </row>
    <row r="44">
      <c r="A44" s="4" t="inlineStr">
        <is>
          <t>发行后每股净资产（元/股）</t>
        </is>
      </c>
      <c r="B44" s="12" t="n">
        <v>21.07</v>
      </c>
      <c r="C44" s="6" t="inlineStr">
        <is>
          <t>A</t>
        </is>
      </c>
      <c r="D44" s="6" t="inlineStr">
        <is>
          <t>S2</t>
        </is>
      </c>
    </row>
    <row r="45">
      <c r="A45" s="4" t="inlineStr">
        <is>
          <t>按发行价计算的发行后市值（亿元）</t>
        </is>
      </c>
      <c r="B45" s="12" t="n">
        <v>609.9299999999999</v>
      </c>
      <c r="C45" s="6" t="inlineStr">
        <is>
          <t>A</t>
        </is>
      </c>
      <c r="D45" s="6" t="inlineStr">
        <is>
          <t>S2</t>
        </is>
      </c>
    </row>
    <row r="46" ht="20" customHeight="1">
      <c r="A46" s="3" t="inlineStr">
        <is>
          <t>【行业与可比公司估值参照】</t>
        </is>
      </c>
    </row>
    <row r="47">
      <c r="A47" s="4" t="inlineStr">
        <is>
          <t>所属行业最近一个月平均静态市盈率（倍，截至2026-08-05 T-3日，中证指数）</t>
        </is>
      </c>
      <c r="B47" s="12" t="n">
        <v>38.56</v>
      </c>
      <c r="C47" s="6" t="inlineStr">
        <is>
          <t>A</t>
        </is>
      </c>
      <c r="D47" s="6" t="inlineStr">
        <is>
          <t>S2</t>
        </is>
      </c>
    </row>
    <row r="48">
      <c r="A48" s="4" t="inlineStr">
        <is>
          <t>可比公司2025年静态市销率算术平均值（倍，Wind，截至2026-08-05）</t>
        </is>
      </c>
      <c r="B48" s="12" t="n">
        <v>19.74</v>
      </c>
      <c r="C48" s="6" t="inlineStr">
        <is>
          <t>A</t>
        </is>
      </c>
      <c r="D48" s="6" t="inlineStr">
        <is>
          <t>S2</t>
        </is>
      </c>
    </row>
    <row r="49">
      <c r="A49" s="4" t="inlineStr">
        <is>
          <t>可比公司选取说明</t>
        </is>
      </c>
      <c r="B49" s="5" t="inlineStr">
        <is>
          <t>优必选、越疆（港股，按2026-08-05中间价1港元=0.86562人民币折算）；云深处、乐聚智能尚未上市故未纳入</t>
        </is>
      </c>
      <c r="C49" s="6" t="inlineStr">
        <is>
          <t>A</t>
        </is>
      </c>
      <c r="D49" s="6" t="inlineStr">
        <is>
          <t>S2</t>
        </is>
      </c>
    </row>
    <row r="50">
      <c r="A50" s="4" t="inlineStr">
        <is>
          <t>估值指标选择原因</t>
        </is>
      </c>
      <c r="B50" s="5" t="inlineStr">
        <is>
          <t>可比上市公司均未盈利，故选择市销率作为估值对比指标</t>
        </is>
      </c>
      <c r="C50" s="6" t="inlineStr">
        <is>
          <t>A</t>
        </is>
      </c>
      <c r="D50" s="6" t="inlineStr">
        <is>
          <t>S2</t>
        </is>
      </c>
    </row>
    <row r="51" ht="20" customHeight="1">
      <c r="A51" s="3" t="inlineStr">
        <is>
          <t>【上市标准与历史估值】</t>
        </is>
      </c>
    </row>
    <row r="52">
      <c r="A52" s="4" t="inlineStr">
        <is>
          <t>适用上市标准</t>
        </is>
      </c>
      <c r="B52" s="5" t="inlineStr">
        <is>
          <t>《上海证券交易所科创板股票上市规则》第2.1.4条第（一）款：预计市值不低于人民币100亿元（因存在特别表决权安排）</t>
        </is>
      </c>
      <c r="C52" s="6" t="inlineStr">
        <is>
          <t>A</t>
        </is>
      </c>
      <c r="D52" s="6" t="inlineStr">
        <is>
          <t>S1</t>
        </is>
      </c>
    </row>
    <row r="53">
      <c r="A53" s="4" t="inlineStr">
        <is>
          <t>2025年6月最近一次市场化股权融资投前估值（亿元）</t>
        </is>
      </c>
      <c r="B53" s="12" t="n">
        <v>120</v>
      </c>
      <c r="C53" s="6" t="inlineStr">
        <is>
          <t>A</t>
        </is>
      </c>
      <c r="D53" s="6" t="inlineStr">
        <is>
          <t>S1</t>
        </is>
      </c>
    </row>
    <row r="54">
      <c r="A54" s="4" t="inlineStr">
        <is>
          <t>2025年6月最近一次市场化股权融资投后估值（亿元）</t>
        </is>
      </c>
      <c r="B54" s="12" t="n">
        <v>127</v>
      </c>
      <c r="C54" s="6" t="inlineStr">
        <is>
          <t>A</t>
        </is>
      </c>
      <c r="D54" s="6" t="inlineStr">
        <is>
          <t>S1</t>
        </is>
      </c>
    </row>
    <row r="55" ht="20" customHeight="1">
      <c r="A55" s="3" t="inlineStr">
        <is>
          <t>【中介机构】</t>
        </is>
      </c>
    </row>
    <row r="56">
      <c r="A56" s="4" t="inlineStr">
        <is>
          <t>保荐人（主承销商）</t>
        </is>
      </c>
      <c r="B56" s="5" t="inlineStr">
        <is>
          <t>中信证券股份有限公司（法定代表人 张佑君）</t>
        </is>
      </c>
      <c r="C56" s="6" t="inlineStr">
        <is>
          <t>A</t>
        </is>
      </c>
      <c r="D56" s="6" t="inlineStr">
        <is>
          <t>S2</t>
        </is>
      </c>
    </row>
    <row r="57">
      <c r="A57" s="4" t="inlineStr">
        <is>
          <t>保荐代表人</t>
        </is>
      </c>
      <c r="B57" s="5" t="inlineStr">
        <is>
          <t>高若阳（S1010717030001）、陈熙颖（S1010716040002）</t>
        </is>
      </c>
      <c r="C57" s="6" t="inlineStr">
        <is>
          <t>A</t>
        </is>
      </c>
      <c r="D57" s="6" t="inlineStr">
        <is>
          <t>S2</t>
        </is>
      </c>
    </row>
    <row r="58">
      <c r="A58" s="4" t="inlineStr">
        <is>
          <t>审计机构</t>
        </is>
      </c>
      <c r="B58" s="5" t="inlineStr">
        <is>
          <t>容诚会计师事务所（特殊普通合伙）</t>
        </is>
      </c>
      <c r="C58" s="6" t="inlineStr">
        <is>
          <t>A</t>
        </is>
      </c>
      <c r="D58" s="6" t="inlineStr">
        <is>
          <t>S2</t>
        </is>
      </c>
    </row>
    <row r="59">
      <c r="A59" s="4" t="inlineStr">
        <is>
          <t>审计报告文号</t>
        </is>
      </c>
      <c r="B59" s="5" t="inlineStr">
        <is>
          <t>容诚审字[2026]230Z1692号（标准无保留意见）</t>
        </is>
      </c>
      <c r="C59" s="6" t="inlineStr">
        <is>
          <t>A</t>
        </is>
      </c>
      <c r="D59" s="6" t="inlineStr">
        <is>
          <t>S1/S2</t>
        </is>
      </c>
    </row>
    <row r="60">
      <c r="A60" s="4" t="inlineStr">
        <is>
          <t>审阅报告文号</t>
        </is>
      </c>
      <c r="B60" s="5" t="inlineStr">
        <is>
          <t>容诚阅字[2026]230Z0038号（2026年1-3月）</t>
        </is>
      </c>
      <c r="C60" s="6" t="inlineStr">
        <is>
          <t>A</t>
        </is>
      </c>
      <c r="D60" s="6" t="inlineStr">
        <is>
          <t>S1</t>
        </is>
      </c>
    </row>
    <row r="61">
      <c r="A61" s="4" t="inlineStr">
        <is>
          <t>发行人律师</t>
        </is>
      </c>
      <c r="B61" s="5" t="inlineStr">
        <is>
          <t>北京德恒律师事务所</t>
        </is>
      </c>
      <c r="C61" s="6" t="inlineStr">
        <is>
          <t>A</t>
        </is>
      </c>
      <c r="D61" s="6" t="inlineStr">
        <is>
          <t>S1</t>
        </is>
      </c>
    </row>
    <row r="62">
      <c r="A62" s="4" t="inlineStr">
        <is>
          <t>战略配售专项核查律师</t>
        </is>
      </c>
      <c r="B62" s="5" t="inlineStr">
        <is>
          <t>北京市君泽君律师事务所</t>
        </is>
      </c>
      <c r="C62" s="6" t="inlineStr">
        <is>
          <t>A</t>
        </is>
      </c>
      <c r="D62" s="6" t="inlineStr">
        <is>
          <t>S1</t>
        </is>
      </c>
    </row>
    <row r="64" ht="26" customHeight="1">
      <c r="A64" s="15" t="inlineStr">
        <is>
          <t>表2-2 上市后二级市场表现（2026-08-19 至 2026-08-28，资料截止日前全部交易日）</t>
        </is>
      </c>
    </row>
    <row r="65" ht="30" customHeight="1">
      <c r="A65" s="7" t="inlineStr">
        <is>
          <t>交易日</t>
        </is>
      </c>
      <c r="B65" s="7" t="inlineStr">
        <is>
          <t>开盘价(元)</t>
        </is>
      </c>
      <c r="C65" s="7" t="inlineStr">
        <is>
          <t>收盘价(元)</t>
        </is>
      </c>
      <c r="D65" s="7" t="inlineStr">
        <is>
          <t>最高价(元)</t>
        </is>
      </c>
      <c r="E65" s="7" t="inlineStr">
        <is>
          <t>最低价(元)</t>
        </is>
      </c>
      <c r="F65" s="7" t="inlineStr">
        <is>
          <t>成交量(手)</t>
        </is>
      </c>
      <c r="G65" s="7" t="inlineStr">
        <is>
          <t>成交额(元)</t>
        </is>
      </c>
      <c r="H65" s="7" t="inlineStr">
        <is>
          <t>振幅(%)</t>
        </is>
      </c>
      <c r="I65" s="7" t="inlineStr">
        <is>
          <t>涨跌幅(%)</t>
        </is>
      </c>
      <c r="J65" s="7" t="inlineStr">
        <is>
          <t>涨跌额(元)</t>
        </is>
      </c>
      <c r="K65" s="7" t="inlineStr">
        <is>
          <t>换手率(%)</t>
        </is>
      </c>
    </row>
    <row r="66">
      <c r="A66" s="5" t="inlineStr">
        <is>
          <t>2026-08-19</t>
        </is>
      </c>
      <c r="B66" s="16" t="n">
        <v>1100</v>
      </c>
      <c r="C66" s="16" t="n">
        <v>845</v>
      </c>
      <c r="D66" s="16" t="n">
        <v>1100</v>
      </c>
      <c r="E66" s="16" t="n">
        <v>800.08</v>
      </c>
      <c r="F66" s="13" t="n">
        <v>256579</v>
      </c>
      <c r="G66" s="13" t="n">
        <v>23159535334</v>
      </c>
      <c r="H66" s="14" t="n">
        <v>1.9889</v>
      </c>
      <c r="I66" s="14" t="n">
        <v>4.6034</v>
      </c>
      <c r="J66" s="12" t="n">
        <v>694.2</v>
      </c>
      <c r="K66" s="14" t="n">
        <v>0.8528</v>
      </c>
    </row>
    <row r="67">
      <c r="A67" s="5" t="inlineStr">
        <is>
          <t>2026-08-20</t>
        </is>
      </c>
      <c r="B67" s="16" t="n">
        <v>790</v>
      </c>
      <c r="C67" s="16" t="n">
        <v>687</v>
      </c>
      <c r="D67" s="16" t="n">
        <v>790</v>
      </c>
      <c r="E67" s="16" t="n">
        <v>685.01</v>
      </c>
      <c r="F67" s="13" t="n">
        <v>126295</v>
      </c>
      <c r="G67" s="13" t="n">
        <v>9071869080</v>
      </c>
      <c r="H67" s="14" t="n">
        <v>0.1242</v>
      </c>
      <c r="I67" s="14" t="n">
        <v>-0.187</v>
      </c>
      <c r="J67" s="12" t="n">
        <v>-158</v>
      </c>
      <c r="K67" s="14" t="n">
        <v>0.4198</v>
      </c>
    </row>
    <row r="68">
      <c r="A68" s="5" t="inlineStr">
        <is>
          <t>2026-08-21</t>
        </is>
      </c>
      <c r="B68" s="16" t="n">
        <v>659</v>
      </c>
      <c r="C68" s="16" t="n">
        <v>672.41</v>
      </c>
      <c r="D68" s="16" t="n">
        <v>706.98</v>
      </c>
      <c r="E68" s="16" t="n">
        <v>636</v>
      </c>
      <c r="F68" s="13" t="n">
        <v>76057</v>
      </c>
      <c r="G68" s="13" t="n">
        <v>5138831982</v>
      </c>
      <c r="H68" s="14" t="n">
        <v>0.1033</v>
      </c>
      <c r="I68" s="14" t="n">
        <v>-0.0212</v>
      </c>
      <c r="J68" s="12" t="n">
        <v>-14.59</v>
      </c>
      <c r="K68" s="14" t="n">
        <v>0.2528</v>
      </c>
    </row>
    <row r="69">
      <c r="A69" s="5" t="inlineStr">
        <is>
          <t>2026-08-24</t>
        </is>
      </c>
      <c r="B69" s="16" t="n">
        <v>640.26</v>
      </c>
      <c r="C69" s="16" t="n">
        <v>603.08</v>
      </c>
      <c r="D69" s="16" t="n">
        <v>642</v>
      </c>
      <c r="E69" s="16" t="n">
        <v>602.05</v>
      </c>
      <c r="F69" s="13" t="n">
        <v>81289</v>
      </c>
      <c r="G69" s="13" t="n">
        <v>5015549853</v>
      </c>
      <c r="H69" s="14" t="n">
        <v>0.0594</v>
      </c>
      <c r="I69" s="14" t="n">
        <v>-0.1031</v>
      </c>
      <c r="J69" s="12" t="n">
        <v>-69.33</v>
      </c>
      <c r="K69" s="14" t="n">
        <v>0.2702</v>
      </c>
    </row>
    <row r="70">
      <c r="A70" s="5" t="inlineStr">
        <is>
          <t>2026-08-25</t>
        </is>
      </c>
      <c r="B70" s="16" t="n">
        <v>588</v>
      </c>
      <c r="C70" s="16" t="n">
        <v>602.8</v>
      </c>
      <c r="D70" s="16" t="n">
        <v>625.89</v>
      </c>
      <c r="E70" s="16" t="n">
        <v>588</v>
      </c>
      <c r="F70" s="13" t="n">
        <v>53215</v>
      </c>
      <c r="G70" s="13" t="n">
        <v>3244776858</v>
      </c>
      <c r="H70" s="14" t="n">
        <v>0.06279999999999999</v>
      </c>
      <c r="I70" s="14" t="n">
        <v>-0.0005</v>
      </c>
      <c r="J70" s="12" t="n">
        <v>-0.28</v>
      </c>
      <c r="K70" s="14" t="n">
        <v>0.1769</v>
      </c>
    </row>
    <row r="71">
      <c r="A71" s="5" t="inlineStr">
        <is>
          <t>2026-08-26</t>
        </is>
      </c>
      <c r="B71" s="16" t="n">
        <v>598</v>
      </c>
      <c r="C71" s="16" t="n">
        <v>591.53</v>
      </c>
      <c r="D71" s="16" t="n">
        <v>614.4400000000001</v>
      </c>
      <c r="E71" s="16" t="n">
        <v>571</v>
      </c>
      <c r="F71" s="13" t="n">
        <v>55830</v>
      </c>
      <c r="G71" s="13" t="n">
        <v>3324850833</v>
      </c>
      <c r="H71" s="14" t="n">
        <v>0.0721</v>
      </c>
      <c r="I71" s="14" t="n">
        <v>-0.0187</v>
      </c>
      <c r="J71" s="12" t="n">
        <v>-11.27</v>
      </c>
      <c r="K71" s="14" t="n">
        <v>0.1856</v>
      </c>
    </row>
    <row r="72">
      <c r="A72" s="5" t="inlineStr">
        <is>
          <t>2026-08-27</t>
        </is>
      </c>
      <c r="B72" s="16" t="n">
        <v>588</v>
      </c>
      <c r="C72" s="16" t="n">
        <v>615.03</v>
      </c>
      <c r="D72" s="16" t="n">
        <v>615.05</v>
      </c>
      <c r="E72" s="16" t="n">
        <v>582</v>
      </c>
      <c r="F72" s="13" t="n">
        <v>63398</v>
      </c>
      <c r="G72" s="13" t="n">
        <v>3795447912</v>
      </c>
      <c r="H72" s="14" t="n">
        <v>0.0559</v>
      </c>
      <c r="I72" s="14" t="n">
        <v>0.0397</v>
      </c>
      <c r="J72" s="12" t="n">
        <v>23.5</v>
      </c>
      <c r="K72" s="14" t="n">
        <v>0.2107</v>
      </c>
    </row>
    <row r="73">
      <c r="A73" s="5" t="inlineStr">
        <is>
          <t>2026-08-28</t>
        </is>
      </c>
      <c r="B73" s="16" t="n">
        <v>605</v>
      </c>
      <c r="C73" s="16" t="n">
        <v>585</v>
      </c>
      <c r="D73" s="16" t="n">
        <v>605</v>
      </c>
      <c r="E73" s="16" t="n">
        <v>584.88</v>
      </c>
      <c r="F73" s="13" t="n">
        <v>56748</v>
      </c>
      <c r="G73" s="13" t="n">
        <v>3362608198</v>
      </c>
      <c r="H73" s="14" t="n">
        <v>0.0327</v>
      </c>
      <c r="I73" s="14" t="n">
        <v>-0.0488</v>
      </c>
      <c r="J73" s="12" t="n">
        <v>-30.03</v>
      </c>
      <c r="K73" s="14" t="n">
        <v>0.1886</v>
      </c>
    </row>
    <row r="74" ht="15" customHeight="1">
      <c r="A74" s="9" t="inlineStr">
        <is>
          <t>口径说明：①上市首日（8月19日）振幅与涨跌幅以前收盘价=发行价150.80元为基准计算，故振幅达198.89%；②8月29日、30日为周末非交易日；③8月31日数据虽已产生，但超出本底稿资料截止日（2026-08-30），故不予纳入；④行情数据来自第三方接口（来源S9），非公司披露，引用时请注明。</t>
        </is>
      </c>
    </row>
  </sheetData>
  <mergeCells count="10">
    <mergeCell ref="A1:D1"/>
    <mergeCell ref="A74:K74"/>
    <mergeCell ref="A35:D35"/>
    <mergeCell ref="A64:K64"/>
    <mergeCell ref="A3:D3"/>
    <mergeCell ref="A55:D55"/>
    <mergeCell ref="A25:D25"/>
    <mergeCell ref="A51:D51"/>
    <mergeCell ref="A46:D46"/>
    <mergeCell ref="A14:D14"/>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G115"/>
  <sheetViews>
    <sheetView showGridLines="0" workbookViewId="0">
      <selection activeCell="A1" sqref="A1"/>
    </sheetView>
  </sheetViews>
  <sheetFormatPr baseColWidth="8" defaultRowHeight="15"/>
  <cols>
    <col width="40" customWidth="1" min="1" max="1"/>
    <col width="10" customWidth="1" min="2" max="2"/>
    <col width="16" customWidth="1" min="3" max="3"/>
    <col width="16" customWidth="1" min="4" max="4"/>
    <col width="16" customWidth="1" min="5" max="5"/>
    <col width="10" customWidth="1" min="6" max="6"/>
    <col width="8" customWidth="1" min="7" max="7"/>
  </cols>
  <sheetData>
    <row r="1" ht="26" customHeight="1">
      <c r="A1" s="1" t="inlineStr">
        <is>
          <t>表3-1 报告期年度主要财务数据（性质A：经容诚会计师事务所审计）</t>
        </is>
      </c>
    </row>
    <row r="2" ht="15" customHeight="1">
      <c r="A2" s="9" t="inlineStr">
        <is>
          <t>单位：人民币万元（每股指标为元/股，比率为小数存储）。列顺序为 2023 / 2024 / 2025 年度，与招股说明书披露顺序一致。</t>
        </is>
      </c>
    </row>
    <row r="3" ht="30" customHeight="1">
      <c r="A3" s="7" t="inlineStr">
        <is>
          <t>项目</t>
        </is>
      </c>
      <c r="B3" s="7" t="inlineStr">
        <is>
          <t>单位</t>
        </is>
      </c>
      <c r="C3" s="7" t="inlineStr">
        <is>
          <t>2023年度</t>
        </is>
      </c>
      <c r="D3" s="7" t="inlineStr">
        <is>
          <t>2024年度</t>
        </is>
      </c>
      <c r="E3" s="7" t="inlineStr">
        <is>
          <t>2025年度</t>
        </is>
      </c>
      <c r="F3" s="7" t="inlineStr">
        <is>
          <t>数据性质</t>
        </is>
      </c>
      <c r="G3" s="7" t="inlineStr">
        <is>
          <t>来源</t>
        </is>
      </c>
    </row>
    <row r="4" ht="20" customHeight="1">
      <c r="A4" s="3" t="inlineStr">
        <is>
          <t>【一、营业收入与成本】</t>
        </is>
      </c>
    </row>
    <row r="5">
      <c r="A5" s="5" t="inlineStr">
        <is>
          <t>营业收入</t>
        </is>
      </c>
      <c r="B5" s="17" t="inlineStr">
        <is>
          <t>万元</t>
        </is>
      </c>
      <c r="C5" s="12" t="n">
        <v>15913.44</v>
      </c>
      <c r="D5" s="12" t="n">
        <v>39277.07</v>
      </c>
      <c r="E5" s="12" t="n">
        <v>169926.93</v>
      </c>
      <c r="F5" s="17" t="inlineStr">
        <is>
          <t>A</t>
        </is>
      </c>
      <c r="G5" s="17" t="inlineStr">
        <is>
          <t>S1</t>
        </is>
      </c>
    </row>
    <row r="6">
      <c r="A6" s="5" t="inlineStr">
        <is>
          <t xml:space="preserve">　主营业务收入</t>
        </is>
      </c>
      <c r="B6" s="17" t="inlineStr">
        <is>
          <t>万元</t>
        </is>
      </c>
      <c r="C6" s="12" t="n">
        <v>15753.65</v>
      </c>
      <c r="D6" s="12" t="n">
        <v>38767.28</v>
      </c>
      <c r="E6" s="12" t="n">
        <v>167611.09</v>
      </c>
      <c r="F6" s="17" t="inlineStr">
        <is>
          <t>A</t>
        </is>
      </c>
      <c r="G6" s="17" t="inlineStr">
        <is>
          <t>S1</t>
        </is>
      </c>
    </row>
    <row r="7">
      <c r="A7" s="5" t="inlineStr">
        <is>
          <t xml:space="preserve">　其他业务收入</t>
        </is>
      </c>
      <c r="B7" s="17" t="inlineStr">
        <is>
          <t>万元</t>
        </is>
      </c>
      <c r="C7" s="12" t="n">
        <v>159.79</v>
      </c>
      <c r="D7" s="12" t="n">
        <v>509.78</v>
      </c>
      <c r="E7" s="12" t="n">
        <v>2315.84</v>
      </c>
      <c r="F7" s="17" t="inlineStr">
        <is>
          <t>A</t>
        </is>
      </c>
      <c r="G7" s="17" t="inlineStr">
        <is>
          <t>S1</t>
        </is>
      </c>
    </row>
    <row r="8">
      <c r="A8" s="5" t="inlineStr">
        <is>
          <t>营业成本合计</t>
        </is>
      </c>
      <c r="B8" s="17" t="inlineStr">
        <is>
          <t>万元</t>
        </is>
      </c>
      <c r="C8" s="12" t="n">
        <v>8791.85</v>
      </c>
      <c r="D8" s="12" t="n">
        <v>16804.41</v>
      </c>
      <c r="E8" s="12" t="n">
        <v>67226.10000000001</v>
      </c>
      <c r="F8" s="17" t="inlineStr">
        <is>
          <t>A</t>
        </is>
      </c>
      <c r="G8" s="17" t="inlineStr">
        <is>
          <t>S1</t>
        </is>
      </c>
    </row>
    <row r="9">
      <c r="A9" s="5" t="inlineStr">
        <is>
          <t xml:space="preserve">　主营业务成本</t>
        </is>
      </c>
      <c r="B9" s="17" t="inlineStr">
        <is>
          <t>万元</t>
        </is>
      </c>
      <c r="C9" s="12" t="n">
        <v>8787.9</v>
      </c>
      <c r="D9" s="12" t="n">
        <v>16770.67</v>
      </c>
      <c r="E9" s="12" t="n">
        <v>66826.03</v>
      </c>
      <c r="F9" s="17" t="inlineStr">
        <is>
          <t>A</t>
        </is>
      </c>
      <c r="G9" s="17" t="inlineStr">
        <is>
          <t>S1</t>
        </is>
      </c>
    </row>
    <row r="10">
      <c r="A10" s="5" t="inlineStr">
        <is>
          <t xml:space="preserve">　其他业务成本</t>
        </is>
      </c>
      <c r="B10" s="17" t="inlineStr">
        <is>
          <t>万元</t>
        </is>
      </c>
      <c r="C10" s="12" t="n">
        <v>3.95</v>
      </c>
      <c r="D10" s="12" t="n">
        <v>33.74</v>
      </c>
      <c r="E10" s="12" t="n">
        <v>400.08</v>
      </c>
      <c r="F10" s="17" t="inlineStr">
        <is>
          <t>A</t>
        </is>
      </c>
      <c r="G10" s="17" t="inlineStr">
        <is>
          <t>S1</t>
        </is>
      </c>
    </row>
    <row r="11">
      <c r="A11" s="5" t="inlineStr">
        <is>
          <t>主营业务毛利</t>
        </is>
      </c>
      <c r="B11" s="17" t="inlineStr">
        <is>
          <t>万元</t>
        </is>
      </c>
      <c r="C11" s="12" t="n">
        <v>6965.75</v>
      </c>
      <c r="D11" s="12" t="n">
        <v>21996.62</v>
      </c>
      <c r="E11" s="12" t="n">
        <v>100785.07</v>
      </c>
      <c r="F11" s="17" t="inlineStr">
        <is>
          <t>A</t>
        </is>
      </c>
      <c r="G11" s="17" t="inlineStr">
        <is>
          <t>S1</t>
        </is>
      </c>
    </row>
    <row r="12" ht="20" customHeight="1">
      <c r="A12" s="3" t="inlineStr">
        <is>
          <t>【二、期间费用】</t>
        </is>
      </c>
    </row>
    <row r="13">
      <c r="A13" s="5" t="inlineStr">
        <is>
          <t>销售费用</t>
        </is>
      </c>
      <c r="B13" s="17" t="inlineStr">
        <is>
          <t>万元</t>
        </is>
      </c>
      <c r="C13" s="12" t="n">
        <v>3771.83</v>
      </c>
      <c r="D13" s="12" t="n">
        <v>5915.85</v>
      </c>
      <c r="E13" s="12" t="n">
        <v>14120.32</v>
      </c>
      <c r="F13" s="17" t="inlineStr">
        <is>
          <t>A</t>
        </is>
      </c>
      <c r="G13" s="17" t="inlineStr">
        <is>
          <t>S1</t>
        </is>
      </c>
    </row>
    <row r="14">
      <c r="A14" s="5" t="inlineStr">
        <is>
          <t>管理费用</t>
        </is>
      </c>
      <c r="B14" s="17" t="inlineStr">
        <is>
          <t>万元</t>
        </is>
      </c>
      <c r="C14" s="12" t="n">
        <v>1332.8</v>
      </c>
      <c r="D14" s="12" t="n">
        <v>2500.52</v>
      </c>
      <c r="E14" s="12" t="n">
        <v>39959.61</v>
      </c>
      <c r="F14" s="17" t="inlineStr">
        <is>
          <t>A</t>
        </is>
      </c>
      <c r="G14" s="17" t="inlineStr">
        <is>
          <t>S1</t>
        </is>
      </c>
    </row>
    <row r="15">
      <c r="A15" s="5" t="inlineStr">
        <is>
          <t>研发费用</t>
        </is>
      </c>
      <c r="B15" s="17" t="inlineStr">
        <is>
          <t>万元</t>
        </is>
      </c>
      <c r="C15" s="12" t="n">
        <v>4995.18</v>
      </c>
      <c r="D15" s="12" t="n">
        <v>7001.7</v>
      </c>
      <c r="E15" s="12" t="n">
        <v>14496.56</v>
      </c>
      <c r="F15" s="17" t="inlineStr">
        <is>
          <t>A</t>
        </is>
      </c>
      <c r="G15" s="17" t="inlineStr">
        <is>
          <t>S1</t>
        </is>
      </c>
    </row>
    <row r="16">
      <c r="A16" s="5" t="inlineStr">
        <is>
          <t>财务费用</t>
        </is>
      </c>
      <c r="B16" s="17" t="inlineStr">
        <is>
          <t>万元</t>
        </is>
      </c>
      <c r="C16" s="12" t="n">
        <v>-732.47</v>
      </c>
      <c r="D16" s="12" t="n">
        <v>-1718.64</v>
      </c>
      <c r="E16" s="12" t="n">
        <v>98.61</v>
      </c>
      <c r="F16" s="17" t="inlineStr">
        <is>
          <t>A</t>
        </is>
      </c>
      <c r="G16" s="17" t="inlineStr">
        <is>
          <t>S1</t>
        </is>
      </c>
    </row>
    <row r="17">
      <c r="A17" s="5" t="inlineStr">
        <is>
          <t>期间费用合计</t>
        </is>
      </c>
      <c r="B17" s="17" t="inlineStr">
        <is>
          <t>万元</t>
        </is>
      </c>
      <c r="C17" s="12" t="n">
        <v>9367.33</v>
      </c>
      <c r="D17" s="12" t="n">
        <v>13699.43</v>
      </c>
      <c r="E17" s="12" t="n">
        <v>68675.11</v>
      </c>
      <c r="F17" s="17" t="inlineStr">
        <is>
          <t>A</t>
        </is>
      </c>
      <c r="G17" s="17" t="inlineStr">
        <is>
          <t>S1</t>
        </is>
      </c>
    </row>
    <row r="18" ht="20" customHeight="1">
      <c r="A18" s="3" t="inlineStr">
        <is>
          <t>【三、其他损益项目】</t>
        </is>
      </c>
    </row>
    <row r="19">
      <c r="A19" s="5" t="inlineStr">
        <is>
          <t>投资收益</t>
        </is>
      </c>
      <c r="B19" s="17" t="inlineStr">
        <is>
          <t>万元</t>
        </is>
      </c>
      <c r="C19" s="12" t="n">
        <v>154.4</v>
      </c>
      <c r="D19" s="12" t="n">
        <v>927.46</v>
      </c>
      <c r="E19" s="12" t="n">
        <v>2301.09</v>
      </c>
      <c r="F19" s="17" t="inlineStr">
        <is>
          <t>A</t>
        </is>
      </c>
      <c r="G19" s="17" t="inlineStr">
        <is>
          <t>S1</t>
        </is>
      </c>
    </row>
    <row r="20">
      <c r="A20" s="5" t="inlineStr">
        <is>
          <t xml:space="preserve">　其中：理财产品投资收益</t>
        </is>
      </c>
      <c r="B20" s="17" t="inlineStr">
        <is>
          <t>万元</t>
        </is>
      </c>
      <c r="C20" s="12" t="n">
        <v>34.92</v>
      </c>
      <c r="D20" s="12" t="n">
        <v>457.3</v>
      </c>
      <c r="E20" s="12" t="n">
        <v>948.5700000000001</v>
      </c>
      <c r="F20" s="17" t="inlineStr">
        <is>
          <t>A</t>
        </is>
      </c>
      <c r="G20" s="17" t="inlineStr">
        <is>
          <t>S1</t>
        </is>
      </c>
    </row>
    <row r="21">
      <c r="A21" s="5" t="inlineStr">
        <is>
          <t xml:space="preserve">　其中：债权投资持有期间利息收入</t>
        </is>
      </c>
      <c r="B21" s="17" t="inlineStr">
        <is>
          <t>万元</t>
        </is>
      </c>
      <c r="C21" s="12" t="n">
        <v>119.48</v>
      </c>
      <c r="D21" s="12" t="n">
        <v>470.16</v>
      </c>
      <c r="E21" s="12" t="n">
        <v>1368.93</v>
      </c>
      <c r="F21" s="17" t="inlineStr">
        <is>
          <t>A</t>
        </is>
      </c>
      <c r="G21" s="17" t="inlineStr">
        <is>
          <t>S1</t>
        </is>
      </c>
    </row>
    <row r="22">
      <c r="A22" s="5" t="inlineStr">
        <is>
          <t>公允价值变动收益</t>
        </is>
      </c>
      <c r="B22" s="17" t="inlineStr">
        <is>
          <t>万元</t>
        </is>
      </c>
      <c r="C22" s="12" t="n">
        <v>-5.66</v>
      </c>
      <c r="D22" s="12" t="n">
        <v>95.42</v>
      </c>
      <c r="E22" s="12" t="n">
        <v>91.29000000000001</v>
      </c>
      <c r="F22" s="17" t="inlineStr">
        <is>
          <t>A</t>
        </is>
      </c>
      <c r="G22" s="17" t="inlineStr">
        <is>
          <t>S1</t>
        </is>
      </c>
    </row>
    <row r="23">
      <c r="A23" s="5" t="inlineStr">
        <is>
          <t>信用减值损失</t>
        </is>
      </c>
      <c r="B23" s="17" t="inlineStr">
        <is>
          <t>万元</t>
        </is>
      </c>
      <c r="C23" s="12" t="n">
        <v>-61.82</v>
      </c>
      <c r="D23" s="12" t="n">
        <v>-115.59</v>
      </c>
      <c r="E23" s="12" t="n">
        <v>-256.52</v>
      </c>
      <c r="F23" s="17" t="inlineStr">
        <is>
          <t>A</t>
        </is>
      </c>
      <c r="G23" s="17" t="inlineStr">
        <is>
          <t>S1</t>
        </is>
      </c>
    </row>
    <row r="24">
      <c r="A24" s="5" t="inlineStr">
        <is>
          <t>资产减值损失</t>
        </is>
      </c>
      <c r="B24" s="17" t="inlineStr">
        <is>
          <t>万元</t>
        </is>
      </c>
      <c r="C24" s="12" t="n">
        <v>-840.5599999999999</v>
      </c>
      <c r="D24" s="12" t="n">
        <v>-1037.85</v>
      </c>
      <c r="E24" s="12" t="n">
        <v>-1598.06</v>
      </c>
      <c r="F24" s="17" t="inlineStr">
        <is>
          <t>A</t>
        </is>
      </c>
      <c r="G24" s="17" t="inlineStr">
        <is>
          <t>S1</t>
        </is>
      </c>
    </row>
    <row r="25">
      <c r="A25" s="5" t="inlineStr">
        <is>
          <t>营业外收入</t>
        </is>
      </c>
      <c r="B25" s="17" t="inlineStr">
        <is>
          <t>万元</t>
        </is>
      </c>
      <c r="C25" s="12" t="n">
        <v>6.08</v>
      </c>
      <c r="D25" s="12" t="n">
        <v>7.02</v>
      </c>
      <c r="E25" s="12" t="n">
        <v>130.92</v>
      </c>
      <c r="F25" s="17" t="inlineStr">
        <is>
          <t>A</t>
        </is>
      </c>
      <c r="G25" s="17" t="inlineStr">
        <is>
          <t>S1</t>
        </is>
      </c>
    </row>
    <row r="26">
      <c r="A26" s="5" t="inlineStr">
        <is>
          <t>营业外支出</t>
        </is>
      </c>
      <c r="B26" s="17" t="inlineStr">
        <is>
          <t>万元</t>
        </is>
      </c>
      <c r="C26" s="12" t="n">
        <v>10.26</v>
      </c>
      <c r="D26" s="12" t="n">
        <v>15.49</v>
      </c>
      <c r="E26" s="12" t="n">
        <v>56.36</v>
      </c>
      <c r="F26" s="17" t="inlineStr">
        <is>
          <t>A</t>
        </is>
      </c>
      <c r="G26" s="17" t="inlineStr">
        <is>
          <t>S1</t>
        </is>
      </c>
    </row>
    <row r="27" ht="20" customHeight="1">
      <c r="A27" s="3" t="inlineStr">
        <is>
          <t>【四、利润】</t>
        </is>
      </c>
    </row>
    <row r="28">
      <c r="A28" s="5" t="inlineStr">
        <is>
          <t>营业利润</t>
        </is>
      </c>
      <c r="B28" s="17" t="inlineStr">
        <is>
          <t>万元</t>
        </is>
      </c>
      <c r="C28" s="12" t="n">
        <v>-2136.69</v>
      </c>
      <c r="D28" s="12" t="n">
        <v>10070.25</v>
      </c>
      <c r="E28" s="12" t="n">
        <v>36771.35</v>
      </c>
      <c r="F28" s="17" t="inlineStr">
        <is>
          <t>A</t>
        </is>
      </c>
      <c r="G28" s="17" t="inlineStr">
        <is>
          <t>S1</t>
        </is>
      </c>
    </row>
    <row r="29">
      <c r="A29" s="5" t="inlineStr">
        <is>
          <t>利润总额</t>
        </is>
      </c>
      <c r="B29" s="17" t="inlineStr">
        <is>
          <t>万元</t>
        </is>
      </c>
      <c r="C29" s="12" t="n">
        <v>-2140.87</v>
      </c>
      <c r="D29" s="12" t="n">
        <v>10061.78</v>
      </c>
      <c r="E29" s="12" t="n">
        <v>36845.9</v>
      </c>
      <c r="F29" s="17" t="inlineStr">
        <is>
          <t>A</t>
        </is>
      </c>
      <c r="G29" s="17" t="inlineStr">
        <is>
          <t>S1</t>
        </is>
      </c>
    </row>
    <row r="30">
      <c r="A30" s="5" t="inlineStr">
        <is>
          <t>净利润</t>
        </is>
      </c>
      <c r="B30" s="17" t="inlineStr">
        <is>
          <t>万元</t>
        </is>
      </c>
      <c r="C30" s="12" t="n">
        <v>-1114.51</v>
      </c>
      <c r="D30" s="12" t="n">
        <v>9547.469999999999</v>
      </c>
      <c r="E30" s="12" t="n">
        <v>27821.05</v>
      </c>
      <c r="F30" s="17" t="inlineStr">
        <is>
          <t>A</t>
        </is>
      </c>
      <c r="G30" s="17" t="inlineStr">
        <is>
          <t>S1</t>
        </is>
      </c>
    </row>
    <row r="31">
      <c r="A31" s="5" t="inlineStr">
        <is>
          <t>归属于母公司所有者的净利润</t>
        </is>
      </c>
      <c r="B31" s="17" t="inlineStr">
        <is>
          <t>万元</t>
        </is>
      </c>
      <c r="C31" s="12" t="n">
        <v>-1114.51</v>
      </c>
      <c r="D31" s="12" t="n">
        <v>9547.469999999999</v>
      </c>
      <c r="E31" s="12" t="n">
        <v>27821.05</v>
      </c>
      <c r="F31" s="17" t="inlineStr">
        <is>
          <t>A</t>
        </is>
      </c>
      <c r="G31" s="17" t="inlineStr">
        <is>
          <t>S1</t>
        </is>
      </c>
    </row>
    <row r="32">
      <c r="A32" s="5" t="inlineStr">
        <is>
          <t>扣除非经常性损益后归属于母公司所有者的净利润</t>
        </is>
      </c>
      <c r="B32" s="17" t="inlineStr">
        <is>
          <t>万元</t>
        </is>
      </c>
      <c r="C32" s="12" t="n">
        <v>-1801.91</v>
      </c>
      <c r="D32" s="12" t="n">
        <v>7847.65</v>
      </c>
      <c r="E32" s="12" t="n">
        <v>59075.28</v>
      </c>
      <c r="F32" s="17" t="inlineStr">
        <is>
          <t>A</t>
        </is>
      </c>
      <c r="G32" s="17" t="inlineStr">
        <is>
          <t>S1</t>
        </is>
      </c>
    </row>
    <row r="33" ht="20" customHeight="1">
      <c r="A33" s="3" t="inlineStr">
        <is>
          <t>【五、非经常性损益关键项】</t>
        </is>
      </c>
    </row>
    <row r="34">
      <c r="A34" s="4" t="inlineStr">
        <is>
          <t>股份支付费用（上海宇翼增资，计入管理费用，属非经常性损益）</t>
        </is>
      </c>
      <c r="B34" s="17" t="inlineStr">
        <is>
          <t>万元</t>
        </is>
      </c>
      <c r="C34" s="18" t="n"/>
      <c r="D34" s="18" t="n"/>
      <c r="E34" s="12" t="n">
        <v>34906.55</v>
      </c>
      <c r="F34" s="17" t="inlineStr">
        <is>
          <t>A</t>
        </is>
      </c>
      <c r="G34" s="17" t="inlineStr">
        <is>
          <t>S1</t>
        </is>
      </c>
    </row>
    <row r="35">
      <c r="A35" s="5" t="inlineStr">
        <is>
          <t xml:space="preserve">　（参考）2022年上海宇翼增资确认股份支付费用</t>
        </is>
      </c>
      <c r="B35" s="17" t="inlineStr">
        <is>
          <t>万元</t>
        </is>
      </c>
      <c r="C35" s="18" t="n"/>
      <c r="D35" s="18" t="n"/>
      <c r="E35" s="12" t="n">
        <v>1872.26</v>
      </c>
      <c r="F35" s="17" t="inlineStr">
        <is>
          <t>A</t>
        </is>
      </c>
      <c r="G35" s="17" t="inlineStr">
        <is>
          <t>S1</t>
        </is>
      </c>
    </row>
    <row r="36" ht="20" customHeight="1">
      <c r="A36" s="3" t="inlineStr">
        <is>
          <t>【六、现金流】</t>
        </is>
      </c>
    </row>
    <row r="37">
      <c r="A37" s="5" t="inlineStr">
        <is>
          <t>经营活动产生的现金流量净额</t>
        </is>
      </c>
      <c r="B37" s="17" t="inlineStr">
        <is>
          <t>万元</t>
        </is>
      </c>
      <c r="C37" s="12" t="n">
        <v>494.25</v>
      </c>
      <c r="D37" s="12" t="n">
        <v>19239.13</v>
      </c>
      <c r="E37" s="12" t="n">
        <v>66998.17999999999</v>
      </c>
      <c r="F37" s="17" t="inlineStr">
        <is>
          <t>A</t>
        </is>
      </c>
      <c r="G37" s="17" t="inlineStr">
        <is>
          <t>S1</t>
        </is>
      </c>
    </row>
    <row r="38" ht="20" customHeight="1">
      <c r="A38" s="3" t="inlineStr">
        <is>
          <t>【七、资产与权益（期末数）】</t>
        </is>
      </c>
    </row>
    <row r="39">
      <c r="A39" s="5" t="inlineStr">
        <is>
          <t>资产总额</t>
        </is>
      </c>
      <c r="B39" s="17" t="inlineStr">
        <is>
          <t>万元</t>
        </is>
      </c>
      <c r="C39" s="12" t="n">
        <v>39127.15</v>
      </c>
      <c r="D39" s="12" t="n">
        <v>152786.94</v>
      </c>
      <c r="E39" s="12" t="n">
        <v>320853.83</v>
      </c>
      <c r="F39" s="17" t="inlineStr">
        <is>
          <t>A</t>
        </is>
      </c>
      <c r="G39" s="17" t="inlineStr">
        <is>
          <t>S1</t>
        </is>
      </c>
    </row>
    <row r="40">
      <c r="A40" s="5" t="inlineStr">
        <is>
          <t xml:space="preserve">　流动资产</t>
        </is>
      </c>
      <c r="B40" s="17" t="inlineStr">
        <is>
          <t>万元</t>
        </is>
      </c>
      <c r="C40" s="12" t="n">
        <v>32630.22</v>
      </c>
      <c r="D40" s="12" t="n">
        <v>127089.87</v>
      </c>
      <c r="E40" s="12" t="n">
        <v>221966.64</v>
      </c>
      <c r="F40" s="17" t="inlineStr">
        <is>
          <t>A</t>
        </is>
      </c>
      <c r="G40" s="17" t="inlineStr">
        <is>
          <t>S1</t>
        </is>
      </c>
    </row>
    <row r="41">
      <c r="A41" s="5" t="inlineStr">
        <is>
          <t xml:space="preserve">　非流动资产</t>
        </is>
      </c>
      <c r="B41" s="17" t="inlineStr">
        <is>
          <t>万元</t>
        </is>
      </c>
      <c r="C41" s="12" t="n">
        <v>6496.93</v>
      </c>
      <c r="D41" s="12" t="n">
        <v>25697.07</v>
      </c>
      <c r="E41" s="12" t="n">
        <v>98887.2</v>
      </c>
      <c r="F41" s="17" t="inlineStr">
        <is>
          <t>A</t>
        </is>
      </c>
      <c r="G41" s="17" t="inlineStr">
        <is>
          <t>S1</t>
        </is>
      </c>
    </row>
    <row r="42">
      <c r="A42" s="5" t="inlineStr">
        <is>
          <t>归属于母公司所有者权益</t>
        </is>
      </c>
      <c r="B42" s="17" t="inlineStr">
        <is>
          <t>万元</t>
        </is>
      </c>
      <c r="C42" s="12" t="n">
        <v>29904.49</v>
      </c>
      <c r="D42" s="12" t="n">
        <v>128054.9</v>
      </c>
      <c r="E42" s="12" t="n">
        <v>260465.85</v>
      </c>
      <c r="F42" s="17" t="inlineStr">
        <is>
          <t>A</t>
        </is>
      </c>
      <c r="G42" s="17" t="inlineStr">
        <is>
          <t>S1</t>
        </is>
      </c>
    </row>
    <row r="43">
      <c r="A43" s="5" t="inlineStr">
        <is>
          <t>预付款项</t>
        </is>
      </c>
      <c r="B43" s="17" t="inlineStr">
        <is>
          <t>万元</t>
        </is>
      </c>
      <c r="C43" s="12" t="n">
        <v>358.35</v>
      </c>
      <c r="D43" s="12" t="n">
        <v>830.78</v>
      </c>
      <c r="E43" s="12" t="n">
        <v>3015.5</v>
      </c>
      <c r="F43" s="17" t="inlineStr">
        <is>
          <t>A</t>
        </is>
      </c>
      <c r="G43" s="17" t="inlineStr">
        <is>
          <t>S1</t>
        </is>
      </c>
    </row>
    <row r="44">
      <c r="A44" s="5" t="inlineStr">
        <is>
          <t>存货（账面价值）</t>
        </is>
      </c>
      <c r="B44" s="17" t="inlineStr">
        <is>
          <t>万元</t>
        </is>
      </c>
      <c r="C44" s="18" t="n"/>
      <c r="D44" s="18" t="n"/>
      <c r="E44" s="12" t="n">
        <v>36775.34</v>
      </c>
      <c r="F44" s="17" t="inlineStr">
        <is>
          <t>A</t>
        </is>
      </c>
      <c r="G44" s="17" t="inlineStr">
        <is>
          <t>S1</t>
        </is>
      </c>
    </row>
    <row r="45">
      <c r="A45" s="5" t="inlineStr">
        <is>
          <t xml:space="preserve">　存货跌价准备</t>
        </is>
      </c>
      <c r="B45" s="17" t="inlineStr">
        <is>
          <t>万元</t>
        </is>
      </c>
      <c r="C45" s="18" t="n"/>
      <c r="D45" s="18" t="n"/>
      <c r="E45" s="12" t="n">
        <v>2457.37</v>
      </c>
      <c r="F45" s="17" t="inlineStr">
        <is>
          <t>A</t>
        </is>
      </c>
      <c r="G45" s="17" t="inlineStr">
        <is>
          <t>S1</t>
        </is>
      </c>
    </row>
    <row r="46">
      <c r="A46" s="5" t="inlineStr">
        <is>
          <t>现金分红</t>
        </is>
      </c>
      <c r="B46" s="17" t="inlineStr">
        <is>
          <t>万元</t>
        </is>
      </c>
      <c r="C46" s="18" t="n"/>
      <c r="D46" s="18" t="n"/>
      <c r="E46" s="18" t="n"/>
      <c r="F46" s="17" t="inlineStr">
        <is>
          <t>A</t>
        </is>
      </c>
      <c r="G46" s="17" t="inlineStr">
        <is>
          <t>S1</t>
        </is>
      </c>
    </row>
    <row r="47" ht="20" customHeight="1">
      <c r="A47" s="3" t="inlineStr">
        <is>
          <t>【八、比率指标（招股说明书直接披露）】</t>
        </is>
      </c>
    </row>
    <row r="48">
      <c r="A48" s="5" t="inlineStr">
        <is>
          <t>资产负债率（合并）</t>
        </is>
      </c>
      <c r="B48" s="17" t="inlineStr">
        <is>
          <t>%</t>
        </is>
      </c>
      <c r="C48" s="14" t="n">
        <v>0.2357</v>
      </c>
      <c r="D48" s="14" t="n">
        <v>0.1619</v>
      </c>
      <c r="E48" s="14" t="n">
        <v>0.1882</v>
      </c>
      <c r="F48" s="17" t="inlineStr">
        <is>
          <t>A</t>
        </is>
      </c>
      <c r="G48" s="17" t="inlineStr">
        <is>
          <t>S1</t>
        </is>
      </c>
    </row>
    <row r="49">
      <c r="A49" s="5" t="inlineStr">
        <is>
          <t>资产负债率（母公司）</t>
        </is>
      </c>
      <c r="B49" s="17" t="inlineStr">
        <is>
          <t>%</t>
        </is>
      </c>
      <c r="C49" s="14" t="n">
        <v>0.2357</v>
      </c>
      <c r="D49" s="14" t="n">
        <v>0.1619</v>
      </c>
      <c r="E49" s="14" t="n">
        <v>0.1856</v>
      </c>
      <c r="F49" s="17" t="inlineStr">
        <is>
          <t>A</t>
        </is>
      </c>
      <c r="G49" s="17" t="inlineStr">
        <is>
          <t>S1</t>
        </is>
      </c>
    </row>
    <row r="50">
      <c r="A50" s="5" t="inlineStr">
        <is>
          <t>主营业务毛利率</t>
        </is>
      </c>
      <c r="B50" s="17" t="inlineStr">
        <is>
          <t>%</t>
        </is>
      </c>
      <c r="C50" s="14" t="n">
        <v>0.4422</v>
      </c>
      <c r="D50" s="14" t="n">
        <v>0.5674</v>
      </c>
      <c r="E50" s="14" t="n">
        <v>0.6012999999999999</v>
      </c>
      <c r="F50" s="17" t="inlineStr">
        <is>
          <t>A</t>
        </is>
      </c>
      <c r="G50" s="17" t="inlineStr">
        <is>
          <t>S1</t>
        </is>
      </c>
    </row>
    <row r="51">
      <c r="A51" s="5" t="inlineStr">
        <is>
          <t>综合毛利率</t>
        </is>
      </c>
      <c r="B51" s="17" t="inlineStr">
        <is>
          <t>%</t>
        </is>
      </c>
      <c r="C51" s="14" t="n">
        <v>0.4475</v>
      </c>
      <c r="D51" s="14" t="n">
        <v>0.5722</v>
      </c>
      <c r="E51" s="14" t="n">
        <v>0.6044</v>
      </c>
      <c r="F51" s="17" t="inlineStr">
        <is>
          <t>A</t>
        </is>
      </c>
      <c r="G51" s="17" t="inlineStr">
        <is>
          <t>S1</t>
        </is>
      </c>
    </row>
    <row r="52">
      <c r="A52" s="5" t="inlineStr">
        <is>
          <t>加权平均净资产收益率</t>
        </is>
      </c>
      <c r="B52" s="17" t="inlineStr">
        <is>
          <t>%</t>
        </is>
      </c>
      <c r="C52" s="14" t="n">
        <v>-0.0366</v>
      </c>
      <c r="D52" s="14" t="n">
        <v>0.1046</v>
      </c>
      <c r="E52" s="14" t="n">
        <v>0.1352</v>
      </c>
      <c r="F52" s="17" t="inlineStr">
        <is>
          <t>A</t>
        </is>
      </c>
      <c r="G52" s="17" t="inlineStr">
        <is>
          <t>S1</t>
        </is>
      </c>
    </row>
    <row r="53">
      <c r="A53" s="5" t="inlineStr">
        <is>
          <t>扣非后加权平均净资产收益率</t>
        </is>
      </c>
      <c r="B53" s="17" t="inlineStr">
        <is>
          <t>%</t>
        </is>
      </c>
      <c r="C53" s="14" t="n">
        <v>-0.0592</v>
      </c>
      <c r="D53" s="14" t="n">
        <v>0.08599999999999999</v>
      </c>
      <c r="E53" s="14" t="n">
        <v>0.287</v>
      </c>
      <c r="F53" s="17" t="inlineStr">
        <is>
          <t>A</t>
        </is>
      </c>
      <c r="G53" s="17" t="inlineStr">
        <is>
          <t>S1</t>
        </is>
      </c>
    </row>
    <row r="54">
      <c r="A54" s="5" t="inlineStr">
        <is>
          <t>研发投入占营业收入比例</t>
        </is>
      </c>
      <c r="B54" s="17" t="inlineStr">
        <is>
          <t>%</t>
        </is>
      </c>
      <c r="C54" s="14" t="n">
        <v>0.3139</v>
      </c>
      <c r="D54" s="14" t="n">
        <v>0.1783</v>
      </c>
      <c r="E54" s="14" t="n">
        <v>0.0853</v>
      </c>
      <c r="F54" s="17" t="inlineStr">
        <is>
          <t>A</t>
        </is>
      </c>
      <c r="G54" s="17" t="inlineStr">
        <is>
          <t>S1</t>
        </is>
      </c>
    </row>
    <row r="55">
      <c r="A55" s="5" t="inlineStr">
        <is>
          <t>基本每股收益</t>
        </is>
      </c>
      <c r="B55" s="17" t="inlineStr">
        <is>
          <t>元/股</t>
        </is>
      </c>
      <c r="C55" s="18" t="n"/>
      <c r="D55" s="18" t="n"/>
      <c r="E55" s="12" t="n">
        <v>0.76</v>
      </c>
      <c r="F55" s="17" t="inlineStr">
        <is>
          <t>A</t>
        </is>
      </c>
      <c r="G55" s="17" t="inlineStr">
        <is>
          <t>S1</t>
        </is>
      </c>
    </row>
    <row r="56">
      <c r="A56" s="5" t="inlineStr">
        <is>
          <t>稀释每股收益</t>
        </is>
      </c>
      <c r="B56" s="17" t="inlineStr">
        <is>
          <t>元/股</t>
        </is>
      </c>
      <c r="C56" s="18" t="n"/>
      <c r="D56" s="18" t="n"/>
      <c r="E56" s="12" t="n">
        <v>0.76</v>
      </c>
      <c r="F56" s="17" t="inlineStr">
        <is>
          <t>A</t>
        </is>
      </c>
      <c r="G56" s="17" t="inlineStr">
        <is>
          <t>S1</t>
        </is>
      </c>
    </row>
    <row r="57">
      <c r="A57" s="5" t="inlineStr">
        <is>
          <t>应收账款坏账计提比例（公司）</t>
        </is>
      </c>
      <c r="B57" s="17" t="inlineStr">
        <is>
          <t>%</t>
        </is>
      </c>
      <c r="C57" s="14" t="n">
        <v>0.0613</v>
      </c>
      <c r="D57" s="14" t="n">
        <v>0.0655</v>
      </c>
      <c r="E57" s="14" t="n">
        <v>0.0513</v>
      </c>
      <c r="F57" s="17" t="inlineStr">
        <is>
          <t>A</t>
        </is>
      </c>
      <c r="G57" s="17" t="inlineStr">
        <is>
          <t>S1</t>
        </is>
      </c>
    </row>
    <row r="58">
      <c r="A58" s="5" t="inlineStr">
        <is>
          <t>应收账款坏账计提比例（同行业平均）</t>
        </is>
      </c>
      <c r="B58" s="17" t="inlineStr">
        <is>
          <t>%</t>
        </is>
      </c>
      <c r="C58" s="14" t="n">
        <v>0.1219</v>
      </c>
      <c r="D58" s="14" t="n">
        <v>0.1381</v>
      </c>
      <c r="E58" s="14" t="n">
        <v>0.1407</v>
      </c>
      <c r="F58" s="17" t="inlineStr">
        <is>
          <t>A</t>
        </is>
      </c>
      <c r="G58" s="17" t="inlineStr">
        <is>
          <t>S1</t>
        </is>
      </c>
    </row>
    <row r="59" ht="20" customHeight="1">
      <c r="A59" s="3" t="inlineStr">
        <is>
          <t>【九、人员与知识产权（期末数）】</t>
        </is>
      </c>
    </row>
    <row r="60">
      <c r="A60" s="5" t="inlineStr">
        <is>
          <t>研发人员（人）</t>
        </is>
      </c>
      <c r="B60" s="17" t="inlineStr">
        <is>
          <t>人</t>
        </is>
      </c>
      <c r="C60" s="19" t="n"/>
      <c r="D60" s="19" t="n"/>
      <c r="E60" s="13" t="n">
        <v>184</v>
      </c>
      <c r="F60" s="17" t="inlineStr">
        <is>
          <t>A</t>
        </is>
      </c>
      <c r="G60" s="17" t="inlineStr">
        <is>
          <t>S1</t>
        </is>
      </c>
    </row>
    <row r="61">
      <c r="A61" s="5" t="inlineStr">
        <is>
          <t>员工总数（人）</t>
        </is>
      </c>
      <c r="B61" s="17" t="inlineStr">
        <is>
          <t>人</t>
        </is>
      </c>
      <c r="C61" s="19" t="n"/>
      <c r="D61" s="19" t="n"/>
      <c r="E61" s="13" t="n">
        <v>516</v>
      </c>
      <c r="F61" s="17" t="inlineStr">
        <is>
          <t>A</t>
        </is>
      </c>
      <c r="G61" s="17" t="inlineStr">
        <is>
          <t>S1</t>
        </is>
      </c>
    </row>
    <row r="62">
      <c r="A62" s="5" t="inlineStr">
        <is>
          <t>研发人员占员工总数比例</t>
        </is>
      </c>
      <c r="B62" s="17" t="inlineStr">
        <is>
          <t>%</t>
        </is>
      </c>
      <c r="C62" s="20" t="n"/>
      <c r="D62" s="20" t="n"/>
      <c r="E62" s="14" t="n">
        <v>0.3566</v>
      </c>
      <c r="F62" s="17" t="inlineStr">
        <is>
          <t>A</t>
        </is>
      </c>
      <c r="G62" s="17" t="inlineStr">
        <is>
          <t>S1</t>
        </is>
      </c>
    </row>
    <row r="63">
      <c r="A63" s="5" t="inlineStr">
        <is>
          <t>境内外注册专利（项，截至2026-01-31）</t>
        </is>
      </c>
      <c r="B63" s="17" t="inlineStr">
        <is>
          <t>项</t>
        </is>
      </c>
      <c r="C63" s="19" t="n"/>
      <c r="D63" s="19" t="n"/>
      <c r="E63" s="13" t="n">
        <v>262</v>
      </c>
      <c r="F63" s="17" t="inlineStr">
        <is>
          <t>A</t>
        </is>
      </c>
      <c r="G63" s="17" t="inlineStr">
        <is>
          <t>S1</t>
        </is>
      </c>
    </row>
    <row r="64">
      <c r="A64" s="5" t="inlineStr">
        <is>
          <t xml:space="preserve">　其中：境内发明专利（项）</t>
        </is>
      </c>
      <c r="B64" s="17" t="inlineStr">
        <is>
          <t>项</t>
        </is>
      </c>
      <c r="C64" s="19" t="n"/>
      <c r="D64" s="19" t="n"/>
      <c r="E64" s="13" t="n">
        <v>20</v>
      </c>
      <c r="F64" s="17" t="inlineStr">
        <is>
          <t>A</t>
        </is>
      </c>
      <c r="G64" s="17" t="inlineStr">
        <is>
          <t>S1</t>
        </is>
      </c>
    </row>
    <row r="66" ht="26" customHeight="1">
      <c r="A66" s="15" t="inlineStr">
        <is>
          <t>表3-2 财务报告审计截止日后主要财务信息：2026年1-3月（性质B：经容诚会计师审阅，未经审计）</t>
        </is>
      </c>
    </row>
    <row r="67" ht="30" customHeight="1">
      <c r="A67" s="7" t="inlineStr">
        <is>
          <t>项目</t>
        </is>
      </c>
      <c r="B67" s="7" t="inlineStr">
        <is>
          <t>单位</t>
        </is>
      </c>
      <c r="C67" s="7" t="inlineStr">
        <is>
          <t>2026年1-3月</t>
        </is>
      </c>
      <c r="D67" s="7" t="inlineStr">
        <is>
          <t>2025年1-3月</t>
        </is>
      </c>
      <c r="E67" s="7" t="inlineStr">
        <is>
          <t>同比变动</t>
        </is>
      </c>
      <c r="F67" s="7" t="inlineStr">
        <is>
          <t>数据性质</t>
        </is>
      </c>
      <c r="G67" s="7" t="inlineStr">
        <is>
          <t>来源</t>
        </is>
      </c>
    </row>
    <row r="68">
      <c r="A68" s="5" t="inlineStr">
        <is>
          <t>营业收入</t>
        </is>
      </c>
      <c r="B68" s="17" t="inlineStr">
        <is>
          <t>万元</t>
        </is>
      </c>
      <c r="C68" s="12" t="n">
        <v>42284.05</v>
      </c>
      <c r="D68" s="12" t="n">
        <v>25095.87</v>
      </c>
      <c r="E68" s="14" t="n">
        <v>0.6849</v>
      </c>
      <c r="F68" s="17" t="inlineStr">
        <is>
          <t>B</t>
        </is>
      </c>
      <c r="G68" s="17" t="inlineStr">
        <is>
          <t>S1</t>
        </is>
      </c>
    </row>
    <row r="69">
      <c r="A69" s="5" t="inlineStr">
        <is>
          <t>营业利润</t>
        </is>
      </c>
      <c r="B69" s="17" t="inlineStr">
        <is>
          <t>万元</t>
        </is>
      </c>
      <c r="C69" s="12" t="n">
        <v>4913.6</v>
      </c>
      <c r="D69" s="12" t="n">
        <v>10820.57</v>
      </c>
      <c r="E69" s="14" t="n">
        <v>-0.5459000000000001</v>
      </c>
      <c r="F69" s="17" t="inlineStr">
        <is>
          <t>B</t>
        </is>
      </c>
      <c r="G69" s="17" t="inlineStr">
        <is>
          <t>S1</t>
        </is>
      </c>
    </row>
    <row r="70">
      <c r="A70" s="5" t="inlineStr">
        <is>
          <t>利润总额</t>
        </is>
      </c>
      <c r="B70" s="17" t="inlineStr">
        <is>
          <t>万元</t>
        </is>
      </c>
      <c r="C70" s="12" t="n">
        <v>4897.44</v>
      </c>
      <c r="D70" s="12" t="n">
        <v>10826.23</v>
      </c>
      <c r="E70" s="14" t="n">
        <v>-0.5476</v>
      </c>
      <c r="F70" s="17" t="inlineStr">
        <is>
          <t>B</t>
        </is>
      </c>
      <c r="G70" s="17" t="inlineStr">
        <is>
          <t>S1</t>
        </is>
      </c>
    </row>
    <row r="71">
      <c r="A71" s="5" t="inlineStr">
        <is>
          <t>净利润</t>
        </is>
      </c>
      <c r="B71" s="17" t="inlineStr">
        <is>
          <t>万元</t>
        </is>
      </c>
      <c r="C71" s="12" t="n">
        <v>5001.38</v>
      </c>
      <c r="D71" s="12" t="n">
        <v>9560.25</v>
      </c>
      <c r="E71" s="14" t="n">
        <v>-0.4769</v>
      </c>
      <c r="F71" s="17" t="inlineStr">
        <is>
          <t>B</t>
        </is>
      </c>
      <c r="G71" s="17" t="inlineStr">
        <is>
          <t>S1</t>
        </is>
      </c>
    </row>
    <row r="72">
      <c r="A72" s="5" t="inlineStr">
        <is>
          <t>归属于母公司所有者的净利润</t>
        </is>
      </c>
      <c r="B72" s="17" t="inlineStr">
        <is>
          <t>万元</t>
        </is>
      </c>
      <c r="C72" s="12" t="n">
        <v>5001.38</v>
      </c>
      <c r="D72" s="12" t="n">
        <v>9560.25</v>
      </c>
      <c r="E72" s="14" t="n">
        <v>-0.4769</v>
      </c>
      <c r="F72" s="17" t="inlineStr">
        <is>
          <t>B</t>
        </is>
      </c>
      <c r="G72" s="17" t="inlineStr">
        <is>
          <t>S1</t>
        </is>
      </c>
    </row>
    <row r="73">
      <c r="A73" s="5" t="inlineStr">
        <is>
          <t>扣非后归属于母公司所有者的净利润</t>
        </is>
      </c>
      <c r="B73" s="17" t="inlineStr">
        <is>
          <t>万元</t>
        </is>
      </c>
      <c r="C73" s="12" t="n">
        <v>4025.36</v>
      </c>
      <c r="D73" s="12" t="n">
        <v>8483.65</v>
      </c>
      <c r="E73" s="14" t="n">
        <v>-0.5255</v>
      </c>
      <c r="F73" s="17" t="inlineStr">
        <is>
          <t>B</t>
        </is>
      </c>
      <c r="G73" s="17" t="inlineStr">
        <is>
          <t>S1</t>
        </is>
      </c>
    </row>
    <row r="74">
      <c r="A74" s="5" t="inlineStr">
        <is>
          <t>经营活动产生的现金流量净额</t>
        </is>
      </c>
      <c r="B74" s="17" t="inlineStr">
        <is>
          <t>万元</t>
        </is>
      </c>
      <c r="C74" s="12" t="n">
        <v>3439.96</v>
      </c>
      <c r="D74" s="12" t="n">
        <v>23972.68</v>
      </c>
      <c r="E74" s="14" t="n">
        <v>-0.8565</v>
      </c>
      <c r="F74" s="17" t="inlineStr">
        <is>
          <t>B</t>
        </is>
      </c>
      <c r="G74" s="17" t="inlineStr">
        <is>
          <t>S1</t>
        </is>
      </c>
    </row>
    <row r="75">
      <c r="A75" s="5" t="inlineStr">
        <is>
          <t>投资活动产生的现金流量净额</t>
        </is>
      </c>
      <c r="B75" s="17" t="inlineStr">
        <is>
          <t>万元</t>
        </is>
      </c>
      <c r="C75" s="12" t="n">
        <v>-4062.77</v>
      </c>
      <c r="D75" s="12" t="n">
        <v>10058.92</v>
      </c>
      <c r="E75" s="14" t="n">
        <v>-1.4039</v>
      </c>
      <c r="F75" s="17" t="inlineStr">
        <is>
          <t>B</t>
        </is>
      </c>
      <c r="G75" s="17" t="inlineStr">
        <is>
          <t>S1</t>
        </is>
      </c>
    </row>
    <row r="76">
      <c r="A76" s="5" t="inlineStr">
        <is>
          <t>筹资活动产生的现金流量净额</t>
        </is>
      </c>
      <c r="B76" s="17" t="inlineStr">
        <is>
          <t>万元</t>
        </is>
      </c>
      <c r="C76" s="12" t="n">
        <v>-1511.59</v>
      </c>
      <c r="D76" s="12" t="n">
        <v>9545.51</v>
      </c>
      <c r="E76" s="14" t="n">
        <v>-1.1584</v>
      </c>
      <c r="F76" s="17" t="inlineStr">
        <is>
          <t>B</t>
        </is>
      </c>
      <c r="G76" s="17" t="inlineStr">
        <is>
          <t>S1</t>
        </is>
      </c>
    </row>
    <row r="77">
      <c r="A77" s="5" t="inlineStr">
        <is>
          <t>资产总额（期末）</t>
        </is>
      </c>
      <c r="B77" s="17" t="inlineStr">
        <is>
          <t>万元</t>
        </is>
      </c>
      <c r="C77" s="12" t="n">
        <v>345907.18</v>
      </c>
      <c r="D77" s="12" t="n">
        <v>320853.83</v>
      </c>
      <c r="E77" s="14" t="n">
        <v>0.0781</v>
      </c>
      <c r="F77" s="17" t="inlineStr">
        <is>
          <t>B</t>
        </is>
      </c>
      <c r="G77" s="17" t="inlineStr">
        <is>
          <t>S1</t>
        </is>
      </c>
    </row>
    <row r="78">
      <c r="A78" s="5" t="inlineStr">
        <is>
          <t>负债总额（期末）</t>
        </is>
      </c>
      <c r="B78" s="17" t="inlineStr">
        <is>
          <t>万元</t>
        </is>
      </c>
      <c r="C78" s="12" t="n">
        <v>80373.63</v>
      </c>
      <c r="D78" s="12" t="n">
        <v>60387.99</v>
      </c>
      <c r="E78" s="14" t="n">
        <v>0.331</v>
      </c>
      <c r="F78" s="17" t="inlineStr">
        <is>
          <t>B</t>
        </is>
      </c>
      <c r="G78" s="17" t="inlineStr">
        <is>
          <t>S1</t>
        </is>
      </c>
    </row>
    <row r="79">
      <c r="A79" s="5" t="inlineStr">
        <is>
          <t>归属于母公司所有者权益（期末）</t>
        </is>
      </c>
      <c r="B79" s="17" t="inlineStr">
        <is>
          <t>万元</t>
        </is>
      </c>
      <c r="C79" s="12" t="n">
        <v>265533.55</v>
      </c>
      <c r="D79" s="12" t="n">
        <v>260465.85</v>
      </c>
      <c r="E79" s="14" t="n">
        <v>0.0195</v>
      </c>
      <c r="F79" s="17" t="inlineStr">
        <is>
          <t>B</t>
        </is>
      </c>
      <c r="G79" s="17" t="inlineStr">
        <is>
          <t>S1</t>
        </is>
      </c>
    </row>
    <row r="80">
      <c r="A80" s="5" t="inlineStr">
        <is>
          <t>归属于母公司股东的非经常性损益净额</t>
        </is>
      </c>
      <c r="B80" s="17" t="inlineStr">
        <is>
          <t>万元</t>
        </is>
      </c>
      <c r="C80" s="12" t="n">
        <v>976.02</v>
      </c>
      <c r="D80" s="12" t="n">
        <v>1076.6</v>
      </c>
      <c r="E80" s="20" t="n"/>
      <c r="F80" s="17" t="inlineStr">
        <is>
          <t>B</t>
        </is>
      </c>
      <c r="G80" s="17" t="inlineStr">
        <is>
          <t>S1</t>
        </is>
      </c>
    </row>
    <row r="81">
      <c r="A81" s="5" t="inlineStr">
        <is>
          <t xml:space="preserve">　其中：计入当期损益的政府补助</t>
        </is>
      </c>
      <c r="B81" s="17" t="inlineStr">
        <is>
          <t>万元</t>
        </is>
      </c>
      <c r="C81" s="12" t="n">
        <v>560.2</v>
      </c>
      <c r="D81" s="12" t="n">
        <v>861.9299999999999</v>
      </c>
      <c r="E81" s="20" t="n"/>
      <c r="F81" s="17" t="inlineStr">
        <is>
          <t>B</t>
        </is>
      </c>
      <c r="G81" s="17" t="inlineStr">
        <is>
          <t>S1</t>
        </is>
      </c>
    </row>
    <row r="82">
      <c r="A82" s="5" t="inlineStr">
        <is>
          <t xml:space="preserve">　其中：金融资产公允价值变动及处置损益</t>
        </is>
      </c>
      <c r="B82" s="17" t="inlineStr">
        <is>
          <t>万元</t>
        </is>
      </c>
      <c r="C82" s="12" t="n">
        <v>573.17</v>
      </c>
      <c r="D82" s="12" t="n">
        <v>375.92</v>
      </c>
      <c r="E82" s="20" t="n"/>
      <c r="F82" s="17" t="inlineStr">
        <is>
          <t>B</t>
        </is>
      </c>
      <c r="G82" s="17" t="inlineStr">
        <is>
          <t>S1</t>
        </is>
      </c>
    </row>
    <row r="83">
      <c r="A83" s="5" t="inlineStr">
        <is>
          <t>研发费用同比增加额（招股说明书文字披露）</t>
        </is>
      </c>
      <c r="B83" s="17" t="inlineStr">
        <is>
          <t>万元</t>
        </is>
      </c>
      <c r="C83" s="12" t="n">
        <v>3832.8</v>
      </c>
      <c r="D83" s="18" t="n"/>
      <c r="E83" s="20" t="n"/>
      <c r="F83" s="17" t="inlineStr">
        <is>
          <t>B</t>
        </is>
      </c>
      <c r="G83" s="17" t="inlineStr">
        <is>
          <t>S1</t>
        </is>
      </c>
    </row>
    <row r="84" ht="15" customHeight="1">
      <c r="A84" s="9" t="inlineStr">
        <is>
          <t>注：资产总额、负债总额、归母权益三行的“2025年1-3月”列实为2025年12月31日期末数，变动比例为较上年末的增减幅（招股说明书原口径）。</t>
        </is>
      </c>
    </row>
    <row r="86" ht="26" customHeight="1">
      <c r="A86" s="15" t="inlineStr">
        <is>
          <t>表3-3 2026年1-6月主要财务数据（性质C：载于上市公告书，未经审计；公司明示上市后不再单独披露2026年半年报）</t>
        </is>
      </c>
    </row>
    <row r="87" ht="30" customHeight="1">
      <c r="A87" s="7" t="inlineStr">
        <is>
          <t>项目</t>
        </is>
      </c>
      <c r="B87" s="7" t="inlineStr">
        <is>
          <t>单位</t>
        </is>
      </c>
      <c r="C87" s="7" t="inlineStr">
        <is>
          <t>2026年1-6月</t>
        </is>
      </c>
      <c r="D87" s="7" t="inlineStr">
        <is>
          <t>2025年1-6月</t>
        </is>
      </c>
      <c r="E87" s="7" t="inlineStr">
        <is>
          <t>变动</t>
        </is>
      </c>
      <c r="F87" s="7" t="inlineStr">
        <is>
          <t>数据性质</t>
        </is>
      </c>
      <c r="G87" s="7" t="inlineStr">
        <is>
          <t>来源</t>
        </is>
      </c>
    </row>
    <row r="88">
      <c r="A88" s="5" t="inlineStr">
        <is>
          <t>营业总收入</t>
        </is>
      </c>
      <c r="B88" s="17" t="inlineStr">
        <is>
          <t>万元</t>
        </is>
      </c>
      <c r="C88" s="12" t="n">
        <v>115224.56</v>
      </c>
      <c r="D88" s="12" t="n">
        <v>77571.92</v>
      </c>
      <c r="E88" s="14" t="n">
        <v>0.4854</v>
      </c>
      <c r="F88" s="17" t="inlineStr">
        <is>
          <t>C</t>
        </is>
      </c>
      <c r="G88" s="17" t="inlineStr">
        <is>
          <t>S2</t>
        </is>
      </c>
    </row>
    <row r="89">
      <c r="A89" s="5" t="inlineStr">
        <is>
          <t>营业利润</t>
        </is>
      </c>
      <c r="B89" s="17" t="inlineStr">
        <is>
          <t>万元</t>
        </is>
      </c>
      <c r="C89" s="12" t="n">
        <v>30223.84</v>
      </c>
      <c r="D89" s="12" t="n">
        <v>1500.1</v>
      </c>
      <c r="E89" s="14" t="n">
        <v>19.1479</v>
      </c>
      <c r="F89" s="17" t="inlineStr">
        <is>
          <t>C</t>
        </is>
      </c>
      <c r="G89" s="17" t="inlineStr">
        <is>
          <t>S2</t>
        </is>
      </c>
    </row>
    <row r="90">
      <c r="A90" s="5" t="inlineStr">
        <is>
          <t>利润总额</t>
        </is>
      </c>
      <c r="B90" s="17" t="inlineStr">
        <is>
          <t>万元</t>
        </is>
      </c>
      <c r="C90" s="12" t="n">
        <v>30111.34</v>
      </c>
      <c r="D90" s="12" t="n">
        <v>1507.59</v>
      </c>
      <c r="E90" s="14" t="n">
        <v>18.9731</v>
      </c>
      <c r="F90" s="17" t="inlineStr">
        <is>
          <t>C</t>
        </is>
      </c>
      <c r="G90" s="17" t="inlineStr">
        <is>
          <t>S2</t>
        </is>
      </c>
    </row>
    <row r="91">
      <c r="A91" s="5" t="inlineStr">
        <is>
          <t>归属于母公司股东的净利润</t>
        </is>
      </c>
      <c r="B91" s="17" t="inlineStr">
        <is>
          <t>万元</t>
        </is>
      </c>
      <c r="C91" s="12" t="n">
        <v>27399.99</v>
      </c>
      <c r="D91" s="12" t="n">
        <v>-3202.45</v>
      </c>
      <c r="E91" s="20" t="n"/>
      <c r="F91" s="17" t="inlineStr">
        <is>
          <t>C</t>
        </is>
      </c>
      <c r="G91" s="17" t="inlineStr">
        <is>
          <t>S2</t>
        </is>
      </c>
    </row>
    <row r="92">
      <c r="A92" s="5" t="inlineStr">
        <is>
          <t>归属于母公司股东的扣除非经常性损益后的净利润</t>
        </is>
      </c>
      <c r="B92" s="17" t="inlineStr">
        <is>
          <t>万元</t>
        </is>
      </c>
      <c r="C92" s="12" t="n">
        <v>24393.03</v>
      </c>
      <c r="D92" s="12" t="n">
        <v>30243.35</v>
      </c>
      <c r="E92" s="14" t="n">
        <v>-0.1934</v>
      </c>
      <c r="F92" s="17" t="inlineStr">
        <is>
          <t>C</t>
        </is>
      </c>
      <c r="G92" s="17" t="inlineStr">
        <is>
          <t>S2</t>
        </is>
      </c>
    </row>
    <row r="93">
      <c r="A93" s="5" t="inlineStr">
        <is>
          <t>基本每股收益</t>
        </is>
      </c>
      <c r="B93" s="17" t="inlineStr">
        <is>
          <t>元/股</t>
        </is>
      </c>
      <c r="C93" s="12" t="n">
        <v>0.75</v>
      </c>
      <c r="D93" s="12" t="n">
        <v>-0.09</v>
      </c>
      <c r="E93" s="20" t="n"/>
      <c r="F93" s="17" t="inlineStr">
        <is>
          <t>C</t>
        </is>
      </c>
      <c r="G93" s="17" t="inlineStr">
        <is>
          <t>S2</t>
        </is>
      </c>
    </row>
    <row r="94">
      <c r="A94" s="5" t="inlineStr">
        <is>
          <t>扣除非经常性损益后的基本每股收益</t>
        </is>
      </c>
      <c r="B94" s="17" t="inlineStr">
        <is>
          <t>元/股</t>
        </is>
      </c>
      <c r="C94" s="12" t="n">
        <v>0.67</v>
      </c>
      <c r="D94" s="12" t="n">
        <v>0.83</v>
      </c>
      <c r="E94" s="14" t="n">
        <v>-0.1928</v>
      </c>
      <c r="F94" s="17" t="inlineStr">
        <is>
          <t>C</t>
        </is>
      </c>
      <c r="G94" s="17" t="inlineStr">
        <is>
          <t>S2</t>
        </is>
      </c>
    </row>
    <row r="95">
      <c r="A95" s="5" t="inlineStr">
        <is>
          <t>加权平均净资产收益率</t>
        </is>
      </c>
      <c r="B95" s="17" t="inlineStr">
        <is>
          <t>%</t>
        </is>
      </c>
      <c r="C95" s="12" t="n">
        <v>0.0999</v>
      </c>
      <c r="D95" s="12" t="n">
        <v>-0.0223</v>
      </c>
      <c r="E95" s="14" t="n">
        <v>0.1222</v>
      </c>
      <c r="F95" s="17" t="inlineStr">
        <is>
          <t>C</t>
        </is>
      </c>
      <c r="G95" s="17" t="inlineStr">
        <is>
          <t>S2</t>
        </is>
      </c>
    </row>
    <row r="96">
      <c r="A96" s="5" t="inlineStr">
        <is>
          <t>扣除非经常性损益后的加权净资产收益率</t>
        </is>
      </c>
      <c r="B96" s="17" t="inlineStr">
        <is>
          <t>%</t>
        </is>
      </c>
      <c r="C96" s="12" t="n">
        <v>0.089</v>
      </c>
      <c r="D96" s="12" t="n">
        <v>0.2102</v>
      </c>
      <c r="E96" s="14" t="n">
        <v>-0.1212</v>
      </c>
      <c r="F96" s="17" t="inlineStr">
        <is>
          <t>C</t>
        </is>
      </c>
      <c r="G96" s="17" t="inlineStr">
        <is>
          <t>S2</t>
        </is>
      </c>
    </row>
    <row r="97">
      <c r="A97" s="5" t="inlineStr">
        <is>
          <t>经营活动产生的现金流量净额</t>
        </is>
      </c>
      <c r="B97" s="17" t="inlineStr">
        <is>
          <t>万元</t>
        </is>
      </c>
      <c r="C97" s="12" t="n">
        <v>23154.53</v>
      </c>
      <c r="D97" s="12" t="n">
        <v>34319.36</v>
      </c>
      <c r="E97" s="14" t="n">
        <v>-0.3253</v>
      </c>
      <c r="F97" s="17" t="inlineStr">
        <is>
          <t>C</t>
        </is>
      </c>
      <c r="G97" s="17" t="inlineStr">
        <is>
          <t>S2</t>
        </is>
      </c>
    </row>
    <row r="98">
      <c r="A98" s="5" t="inlineStr">
        <is>
          <t>每股经营活动产生的现金流量净额</t>
        </is>
      </c>
      <c r="B98" s="17" t="inlineStr">
        <is>
          <t>元/股</t>
        </is>
      </c>
      <c r="C98" s="12" t="n">
        <v>0.64</v>
      </c>
      <c r="D98" s="12" t="n">
        <v>0.9399999999999999</v>
      </c>
      <c r="E98" s="14" t="n">
        <v>-0.3253</v>
      </c>
      <c r="F98" s="17" t="inlineStr">
        <is>
          <t>C</t>
        </is>
      </c>
      <c r="G98" s="17" t="inlineStr">
        <is>
          <t>S2</t>
        </is>
      </c>
    </row>
    <row r="99">
      <c r="A99" s="5" t="inlineStr">
        <is>
          <t>流动资产（期末）</t>
        </is>
      </c>
      <c r="B99" s="17" t="inlineStr">
        <is>
          <t>万元</t>
        </is>
      </c>
      <c r="C99" s="12" t="n">
        <v>288848.41</v>
      </c>
      <c r="D99" s="12" t="n">
        <v>221966.64</v>
      </c>
      <c r="E99" s="14" t="n">
        <v>0.3013</v>
      </c>
      <c r="F99" s="17" t="inlineStr">
        <is>
          <t>C</t>
        </is>
      </c>
      <c r="G99" s="17" t="inlineStr">
        <is>
          <t>S2</t>
        </is>
      </c>
    </row>
    <row r="100">
      <c r="A100" s="5" t="inlineStr">
        <is>
          <t>流动负债（期末）</t>
        </is>
      </c>
      <c r="B100" s="17" t="inlineStr">
        <is>
          <t>万元</t>
        </is>
      </c>
      <c r="C100" s="12" t="n">
        <v>86454.44</v>
      </c>
      <c r="D100" s="12" t="n">
        <v>55573.4</v>
      </c>
      <c r="E100" s="14" t="n">
        <v>0.5557</v>
      </c>
      <c r="F100" s="17" t="inlineStr">
        <is>
          <t>C</t>
        </is>
      </c>
      <c r="G100" s="17" t="inlineStr">
        <is>
          <t>S2</t>
        </is>
      </c>
    </row>
    <row r="101">
      <c r="A101" s="5" t="inlineStr">
        <is>
          <t>总资产（期末）</t>
        </is>
      </c>
      <c r="B101" s="17" t="inlineStr">
        <is>
          <t>万元</t>
        </is>
      </c>
      <c r="C101" s="12" t="n">
        <v>384546.94</v>
      </c>
      <c r="D101" s="12" t="n">
        <v>320853.83</v>
      </c>
      <c r="E101" s="14" t="n">
        <v>0.1985</v>
      </c>
      <c r="F101" s="17" t="inlineStr">
        <is>
          <t>C</t>
        </is>
      </c>
      <c r="G101" s="17" t="inlineStr">
        <is>
          <t>S2</t>
        </is>
      </c>
    </row>
    <row r="102">
      <c r="A102" s="5" t="inlineStr">
        <is>
          <t>负债总额（期末）增速</t>
        </is>
      </c>
      <c r="B102" s="17" t="inlineStr">
        <is>
          <t>%</t>
        </is>
      </c>
      <c r="C102" s="18" t="n"/>
      <c r="D102" s="18" t="n"/>
      <c r="E102" s="14" t="n">
        <v>0.5988</v>
      </c>
      <c r="F102" s="17" t="inlineStr">
        <is>
          <t>C</t>
        </is>
      </c>
      <c r="G102" s="17" t="inlineStr">
        <is>
          <t>S2</t>
        </is>
      </c>
    </row>
    <row r="103">
      <c r="A103" s="5" t="inlineStr">
        <is>
          <t>资产负债率（母公司）（期末）</t>
        </is>
      </c>
      <c r="B103" s="17" t="inlineStr">
        <is>
          <t>%</t>
        </is>
      </c>
      <c r="C103" s="12" t="n">
        <v>0.2484</v>
      </c>
      <c r="D103" s="12" t="n">
        <v>0.1856</v>
      </c>
      <c r="E103" s="14" t="n">
        <v>0.06270000000000001</v>
      </c>
      <c r="F103" s="17" t="inlineStr">
        <is>
          <t>C</t>
        </is>
      </c>
      <c r="G103" s="17" t="inlineStr">
        <is>
          <t>S2</t>
        </is>
      </c>
    </row>
    <row r="104">
      <c r="A104" s="5" t="inlineStr">
        <is>
          <t>资产负债率（合并报表）（期末）</t>
        </is>
      </c>
      <c r="B104" s="17" t="inlineStr">
        <is>
          <t>%</t>
        </is>
      </c>
      <c r="C104" s="12" t="n">
        <v>0.2511</v>
      </c>
      <c r="D104" s="12" t="n">
        <v>0.1882</v>
      </c>
      <c r="E104" s="14" t="n">
        <v>0.0629</v>
      </c>
      <c r="F104" s="17" t="inlineStr">
        <is>
          <t>C</t>
        </is>
      </c>
      <c r="G104" s="17" t="inlineStr">
        <is>
          <t>S2</t>
        </is>
      </c>
    </row>
    <row r="105">
      <c r="A105" s="5" t="inlineStr">
        <is>
          <t>归属于母公司股东的净资产（期末）</t>
        </is>
      </c>
      <c r="B105" s="17" t="inlineStr">
        <is>
          <t>万元</t>
        </is>
      </c>
      <c r="C105" s="12" t="n">
        <v>287998.48</v>
      </c>
      <c r="D105" s="12" t="n">
        <v>260465.85</v>
      </c>
      <c r="E105" s="14" t="n">
        <v>0.1057</v>
      </c>
      <c r="F105" s="17" t="inlineStr">
        <is>
          <t>C</t>
        </is>
      </c>
      <c r="G105" s="17" t="inlineStr">
        <is>
          <t>S2</t>
        </is>
      </c>
    </row>
    <row r="106">
      <c r="A106" s="5" t="inlineStr">
        <is>
          <t>归属于母公司股东的每股净资产（期末）</t>
        </is>
      </c>
      <c r="B106" s="17" t="inlineStr">
        <is>
          <t>元/股</t>
        </is>
      </c>
      <c r="C106" s="12" t="n">
        <v>7.91</v>
      </c>
      <c r="D106" s="12" t="n">
        <v>7.16</v>
      </c>
      <c r="E106" s="14" t="n">
        <v>0.1057</v>
      </c>
      <c r="F106" s="17" t="inlineStr">
        <is>
          <t>C</t>
        </is>
      </c>
      <c r="G106" s="17" t="inlineStr">
        <is>
          <t>S2</t>
        </is>
      </c>
    </row>
    <row r="107">
      <c r="A107" s="5" t="inlineStr">
        <is>
          <t>研发费用同比增加额（上市公告书文字披露）</t>
        </is>
      </c>
      <c r="B107" s="17" t="inlineStr">
        <is>
          <t>万元</t>
        </is>
      </c>
      <c r="C107" s="12" t="n">
        <v>8203.74</v>
      </c>
      <c r="D107" s="18" t="n"/>
      <c r="E107" s="20" t="n"/>
      <c r="F107" s="17" t="inlineStr">
        <is>
          <t>C</t>
        </is>
      </c>
      <c r="G107" s="17" t="inlineStr">
        <is>
          <t>S2</t>
        </is>
      </c>
    </row>
    <row r="108" ht="26" customHeight="1">
      <c r="A108" s="9" t="inlineStr">
        <is>
          <t>口径提示：本表“2025年1-6月”列为上年同期数；“变动”列中，标注为“两期差值(百分点)”的指标为绝对差值而非比率，与上市公告书注释“涉及百分比的指标，变动比例为两期数的差值”一致。归母净利润因上年同期为亏损（受34,906.55万元股份支付费用影响），同比变动率不具可比性，公告书以“-”列示。</t>
        </is>
      </c>
    </row>
    <row r="110" ht="26" customHeight="1">
      <c r="A110" s="21" t="inlineStr">
        <is>
          <t>表3-4 【预测数据·非事实】招股说明书披露的2026年1-6月财务数据预计（性质D：管理层估计，未经审计或审阅，不构成盈利预测或业绩承诺）</t>
        </is>
      </c>
    </row>
    <row r="111" ht="30" customHeight="1">
      <c r="A111" s="7" t="inlineStr">
        <is>
          <t>项目</t>
        </is>
      </c>
      <c r="B111" s="7" t="inlineStr">
        <is>
          <t>单位</t>
        </is>
      </c>
      <c r="C111" s="7" t="inlineStr">
        <is>
          <t>预计下限</t>
        </is>
      </c>
      <c r="D111" s="7" t="inlineStr">
        <is>
          <t>预计上限</t>
        </is>
      </c>
      <c r="E111" s="7" t="inlineStr">
        <is>
          <t>2025年1-6月(比较基数)</t>
        </is>
      </c>
      <c r="F111" s="7" t="inlineStr">
        <is>
          <t>数据性质</t>
        </is>
      </c>
      <c r="G111" s="7" t="inlineStr">
        <is>
          <t>来源</t>
        </is>
      </c>
    </row>
    <row r="112">
      <c r="A112" s="22" t="inlineStr">
        <is>
          <t>营业收入</t>
        </is>
      </c>
      <c r="B112" s="23" t="inlineStr">
        <is>
          <t>万元</t>
        </is>
      </c>
      <c r="C112" s="24" t="n">
        <v>105200</v>
      </c>
      <c r="D112" s="24" t="n">
        <v>112800</v>
      </c>
      <c r="E112" s="24" t="n">
        <v>77571.92</v>
      </c>
      <c r="F112" s="23" t="inlineStr">
        <is>
          <t>D</t>
        </is>
      </c>
      <c r="G112" s="23" t="inlineStr">
        <is>
          <t>S1</t>
        </is>
      </c>
    </row>
    <row r="113">
      <c r="A113" s="22" t="inlineStr">
        <is>
          <t>归属于母公司所有者的净利润</t>
        </is>
      </c>
      <c r="B113" s="23" t="inlineStr">
        <is>
          <t>万元</t>
        </is>
      </c>
      <c r="C113" s="24" t="n">
        <v>25800</v>
      </c>
      <c r="D113" s="24" t="n">
        <v>30600</v>
      </c>
      <c r="E113" s="24" t="n">
        <v>-3202.45</v>
      </c>
      <c r="F113" s="23" t="inlineStr">
        <is>
          <t>D</t>
        </is>
      </c>
      <c r="G113" s="23" t="inlineStr">
        <is>
          <t>S1</t>
        </is>
      </c>
    </row>
    <row r="114">
      <c r="A114" s="22" t="inlineStr">
        <is>
          <t>扣非后归属于母公司所有者的净利润</t>
        </is>
      </c>
      <c r="B114" s="23" t="inlineStr">
        <is>
          <t>万元</t>
        </is>
      </c>
      <c r="C114" s="24" t="n">
        <v>23600</v>
      </c>
      <c r="D114" s="24" t="n">
        <v>28300</v>
      </c>
      <c r="E114" s="24" t="n">
        <v>30243.35</v>
      </c>
      <c r="F114" s="23" t="inlineStr">
        <is>
          <t>D</t>
        </is>
      </c>
      <c r="G114" s="23" t="inlineStr">
        <is>
          <t>S1</t>
        </is>
      </c>
    </row>
    <row r="115" ht="26" customHeight="1">
      <c r="A115" s="8" t="inlineStr">
        <is>
          <t>招股说明书原文：“上述2026年1-6月财务数据预计为管理层对经营状况的合理估计，不代表公司最终实现的营业收入及净利润，相关数据未经会计师审计或审阅，不构成公司的盈利预测或业绩承诺。”——本行数据在任何情况下不得表述为已实现业绩。实际实现数见表3-3（性质C）及表7-8的对比分析。</t>
        </is>
      </c>
    </row>
  </sheetData>
  <mergeCells count="17">
    <mergeCell ref="A84:G84"/>
    <mergeCell ref="A36:G36"/>
    <mergeCell ref="A66:G66"/>
    <mergeCell ref="A1:G1"/>
    <mergeCell ref="A18:G18"/>
    <mergeCell ref="A27:G27"/>
    <mergeCell ref="A110:G110"/>
    <mergeCell ref="A12:G12"/>
    <mergeCell ref="A4:G4"/>
    <mergeCell ref="A108:G108"/>
    <mergeCell ref="A38:G38"/>
    <mergeCell ref="A2:G2"/>
    <mergeCell ref="A86:G86"/>
    <mergeCell ref="A59:G59"/>
    <mergeCell ref="A33:G33"/>
    <mergeCell ref="A47:G47"/>
    <mergeCell ref="A115:G115"/>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H61"/>
  <sheetViews>
    <sheetView showGridLines="0" workbookViewId="0">
      <selection activeCell="A1" sqref="A1"/>
    </sheetView>
  </sheetViews>
  <sheetFormatPr baseColWidth="8" defaultRowHeight="15"/>
  <cols>
    <col width="26" customWidth="1" min="1" max="1"/>
    <col width="12" customWidth="1" min="2" max="2"/>
    <col width="13" customWidth="1" min="3" max="3"/>
    <col width="13" customWidth="1" min="4" max="4"/>
    <col width="12" customWidth="1" min="5" max="5"/>
    <col width="13" customWidth="1" min="6" max="6"/>
    <col width="12" customWidth="1" min="7" max="7"/>
    <col width="8" customWidth="1" min="8" max="8"/>
  </cols>
  <sheetData>
    <row r="1" ht="26" customHeight="1">
      <c r="A1" s="1" t="inlineStr">
        <is>
          <t>表4-1 主营业务收入按产品类别构成（性质A：经审计；单位：万元）</t>
        </is>
      </c>
    </row>
    <row r="2" ht="30" customHeight="1">
      <c r="A2" s="7" t="inlineStr">
        <is>
          <t>产品分类</t>
        </is>
      </c>
      <c r="B2" s="7" t="inlineStr">
        <is>
          <t>2023收入</t>
        </is>
      </c>
      <c r="C2" s="7" t="inlineStr">
        <is>
          <t>2023占比</t>
        </is>
      </c>
      <c r="D2" s="7" t="inlineStr">
        <is>
          <t>2024收入</t>
        </is>
      </c>
      <c r="E2" s="7" t="inlineStr">
        <is>
          <t>2024占比</t>
        </is>
      </c>
      <c r="F2" s="7" t="inlineStr">
        <is>
          <t>2025收入</t>
        </is>
      </c>
      <c r="G2" s="7" t="inlineStr">
        <is>
          <t>2025占比</t>
        </is>
      </c>
      <c r="H2" s="7" t="inlineStr">
        <is>
          <t>来源</t>
        </is>
      </c>
    </row>
    <row r="3">
      <c r="A3" s="5" t="inlineStr">
        <is>
          <t>四足机器人</t>
        </is>
      </c>
      <c r="B3" s="12" t="n">
        <v>11938.09</v>
      </c>
      <c r="C3" s="14" t="n">
        <v>0.7578</v>
      </c>
      <c r="D3" s="12" t="n">
        <v>23054.37</v>
      </c>
      <c r="E3" s="14" t="n">
        <v>0.5947</v>
      </c>
      <c r="F3" s="12" t="n">
        <v>69762.56</v>
      </c>
      <c r="G3" s="14" t="n">
        <v>0.4162</v>
      </c>
      <c r="H3" s="5" t="inlineStr">
        <is>
          <t>S1</t>
        </is>
      </c>
    </row>
    <row r="4">
      <c r="A4" s="5" t="inlineStr">
        <is>
          <t>人形机器人</t>
        </is>
      </c>
      <c r="B4" s="12" t="n">
        <v>296.71</v>
      </c>
      <c r="C4" s="14" t="n">
        <v>0.0188</v>
      </c>
      <c r="D4" s="12" t="n">
        <v>10729.76</v>
      </c>
      <c r="E4" s="14" t="n">
        <v>0.2768</v>
      </c>
      <c r="F4" s="12" t="n">
        <v>86783.19</v>
      </c>
      <c r="G4" s="14" t="n">
        <v>0.5178</v>
      </c>
      <c r="H4" s="5" t="inlineStr">
        <is>
          <t>S1</t>
        </is>
      </c>
    </row>
    <row r="5">
      <c r="A5" s="5" t="inlineStr">
        <is>
          <t>机器人组件</t>
        </is>
      </c>
      <c r="B5" s="12" t="n">
        <v>2692.34</v>
      </c>
      <c r="C5" s="14" t="n">
        <v>0.1709</v>
      </c>
      <c r="D5" s="12" t="n">
        <v>4453.82</v>
      </c>
      <c r="E5" s="14" t="n">
        <v>0.1149</v>
      </c>
      <c r="F5" s="12" t="n">
        <v>10373.67</v>
      </c>
      <c r="G5" s="14" t="n">
        <v>0.0619</v>
      </c>
      <c r="H5" s="5" t="inlineStr">
        <is>
          <t>S1</t>
        </is>
      </c>
    </row>
    <row r="6">
      <c r="A6" s="5" t="inlineStr">
        <is>
          <t>其他</t>
        </is>
      </c>
      <c r="B6" s="12" t="n">
        <v>826.51</v>
      </c>
      <c r="C6" s="14" t="n">
        <v>0.0525</v>
      </c>
      <c r="D6" s="12" t="n">
        <v>529.33</v>
      </c>
      <c r="E6" s="14" t="n">
        <v>0.0137</v>
      </c>
      <c r="F6" s="12" t="n">
        <v>691.67</v>
      </c>
      <c r="G6" s="14" t="n">
        <v>0.0041</v>
      </c>
      <c r="H6" s="5" t="inlineStr">
        <is>
          <t>S1</t>
        </is>
      </c>
    </row>
    <row r="7">
      <c r="A7" s="25" t="inlineStr">
        <is>
          <t>主营业务收入合计</t>
        </is>
      </c>
      <c r="B7" s="26" t="n">
        <v>15753.65</v>
      </c>
      <c r="C7" s="27" t="n">
        <v>1</v>
      </c>
      <c r="D7" s="26" t="n">
        <v>38767.28</v>
      </c>
      <c r="E7" s="27" t="n">
        <v>1</v>
      </c>
      <c r="F7" s="26" t="n">
        <v>167611.09</v>
      </c>
      <c r="G7" s="27" t="n">
        <v>1</v>
      </c>
      <c r="H7" s="25" t="inlineStr">
        <is>
          <t>S1</t>
        </is>
      </c>
    </row>
    <row r="9" ht="26" customHeight="1">
      <c r="A9" s="15" t="inlineStr">
        <is>
          <t>表4-2 主营业务成本按产品类别构成（性质A；单位：万元）</t>
        </is>
      </c>
    </row>
    <row r="10" ht="30" customHeight="1">
      <c r="A10" s="7" t="inlineStr">
        <is>
          <t>产品分类</t>
        </is>
      </c>
      <c r="B10" s="7" t="inlineStr">
        <is>
          <t>2023成本</t>
        </is>
      </c>
      <c r="C10" s="7" t="inlineStr">
        <is>
          <t>2023占比</t>
        </is>
      </c>
      <c r="D10" s="7" t="inlineStr">
        <is>
          <t>2024成本</t>
        </is>
      </c>
      <c r="E10" s="7" t="inlineStr">
        <is>
          <t>2024占比</t>
        </is>
      </c>
      <c r="F10" s="7" t="inlineStr">
        <is>
          <t>2025成本</t>
        </is>
      </c>
      <c r="G10" s="7" t="inlineStr">
        <is>
          <t>2025占比</t>
        </is>
      </c>
      <c r="H10" s="7" t="inlineStr">
        <is>
          <t>来源</t>
        </is>
      </c>
    </row>
    <row r="11">
      <c r="A11" s="5" t="inlineStr">
        <is>
          <t>四足机器人</t>
        </is>
      </c>
      <c r="B11" s="12" t="n">
        <v>6719.87</v>
      </c>
      <c r="C11" s="14" t="n">
        <v>0.7647</v>
      </c>
      <c r="D11" s="12" t="n">
        <v>11147.49</v>
      </c>
      <c r="E11" s="14" t="n">
        <v>0.6647</v>
      </c>
      <c r="F11" s="12" t="n">
        <v>30193.4</v>
      </c>
      <c r="G11" s="14" t="n">
        <v>0.4518</v>
      </c>
      <c r="H11" s="5" t="inlineStr">
        <is>
          <t>S1</t>
        </is>
      </c>
    </row>
    <row r="12">
      <c r="A12" s="5" t="inlineStr">
        <is>
          <t>人形机器人</t>
        </is>
      </c>
      <c r="B12" s="12" t="n">
        <v>36.59</v>
      </c>
      <c r="C12" s="14" t="n">
        <v>0.0042</v>
      </c>
      <c r="D12" s="12" t="n">
        <v>3298.78</v>
      </c>
      <c r="E12" s="14" t="n">
        <v>0.1967</v>
      </c>
      <c r="F12" s="12" t="n">
        <v>31956.59</v>
      </c>
      <c r="G12" s="14" t="n">
        <v>0.4782</v>
      </c>
      <c r="H12" s="5" t="inlineStr">
        <is>
          <t>S1</t>
        </is>
      </c>
    </row>
    <row r="13">
      <c r="A13" s="5" t="inlineStr">
        <is>
          <t>机器人组件</t>
        </is>
      </c>
      <c r="B13" s="12" t="n">
        <v>1379.44</v>
      </c>
      <c r="C13" s="14" t="n">
        <v>0.157</v>
      </c>
      <c r="D13" s="12" t="n">
        <v>1918.03</v>
      </c>
      <c r="E13" s="14" t="n">
        <v>0.1144</v>
      </c>
      <c r="F13" s="12" t="n">
        <v>4216.26</v>
      </c>
      <c r="G13" s="14" t="n">
        <v>0.0631</v>
      </c>
      <c r="H13" s="5" t="inlineStr">
        <is>
          <t>S1</t>
        </is>
      </c>
    </row>
    <row r="14">
      <c r="A14" s="5" t="inlineStr">
        <is>
          <t>其他</t>
        </is>
      </c>
      <c r="B14" s="12" t="n">
        <v>652</v>
      </c>
      <c r="C14" s="14" t="n">
        <v>0.0742</v>
      </c>
      <c r="D14" s="12" t="n">
        <v>406.37</v>
      </c>
      <c r="E14" s="14" t="n">
        <v>0.0242</v>
      </c>
      <c r="F14" s="12" t="n">
        <v>459.78</v>
      </c>
      <c r="G14" s="14" t="n">
        <v>0.0069</v>
      </c>
      <c r="H14" s="5" t="inlineStr">
        <is>
          <t>S1</t>
        </is>
      </c>
    </row>
    <row r="15">
      <c r="A15" s="25" t="inlineStr">
        <is>
          <t>主营业务成本合计</t>
        </is>
      </c>
      <c r="B15" s="26" t="n">
        <v>8787.9</v>
      </c>
      <c r="C15" s="27" t="n">
        <v>1</v>
      </c>
      <c r="D15" s="26" t="n">
        <v>16770.67</v>
      </c>
      <c r="E15" s="27" t="n">
        <v>1</v>
      </c>
      <c r="F15" s="26" t="n">
        <v>66826.03</v>
      </c>
      <c r="G15" s="27" t="n">
        <v>1</v>
      </c>
      <c r="H15" s="25" t="inlineStr">
        <is>
          <t>S1</t>
        </is>
      </c>
    </row>
    <row r="17" ht="26" customHeight="1">
      <c r="A17" s="15" t="inlineStr">
        <is>
          <t>表4-3 主要产品销售量与平均单价（性质A）</t>
        </is>
      </c>
    </row>
    <row r="18" ht="30" customHeight="1">
      <c r="A18" s="7" t="inlineStr">
        <is>
          <t>产品 / 指标</t>
        </is>
      </c>
      <c r="B18" s="7" t="inlineStr">
        <is>
          <t>单位</t>
        </is>
      </c>
      <c r="C18" s="7" t="inlineStr">
        <is>
          <t>2023</t>
        </is>
      </c>
      <c r="D18" s="7" t="inlineStr">
        <is>
          <t>2024</t>
        </is>
      </c>
      <c r="E18" s="7" t="inlineStr">
        <is>
          <t>2024变动</t>
        </is>
      </c>
      <c r="F18" s="7" t="inlineStr">
        <is>
          <t>2025</t>
        </is>
      </c>
      <c r="G18" s="7" t="inlineStr">
        <is>
          <t>2025变动</t>
        </is>
      </c>
      <c r="H18" s="7" t="inlineStr">
        <is>
          <t>来源</t>
        </is>
      </c>
    </row>
    <row r="19">
      <c r="A19" s="5" t="inlineStr">
        <is>
          <t>四足机器人 销量</t>
        </is>
      </c>
      <c r="B19" s="17" t="inlineStr">
        <is>
          <t>台</t>
        </is>
      </c>
      <c r="C19" s="13" t="n">
        <v>3121</v>
      </c>
      <c r="D19" s="13" t="n">
        <v>7136</v>
      </c>
      <c r="E19" s="14" t="n">
        <v>1.2864</v>
      </c>
      <c r="F19" s="13" t="n">
        <v>23037</v>
      </c>
      <c r="G19" s="14" t="n">
        <v>2.2283</v>
      </c>
      <c r="H19" s="17" t="inlineStr">
        <is>
          <t>S1</t>
        </is>
      </c>
    </row>
    <row r="20">
      <c r="A20" s="5" t="inlineStr">
        <is>
          <t>四足机器人 平均单价</t>
        </is>
      </c>
      <c r="B20" s="17" t="inlineStr">
        <is>
          <t>万元/台</t>
        </is>
      </c>
      <c r="C20" s="12" t="n">
        <v>3.83</v>
      </c>
      <c r="D20" s="12" t="n">
        <v>3.23</v>
      </c>
      <c r="E20" s="14" t="n">
        <v>-0.1554</v>
      </c>
      <c r="F20" s="12" t="n">
        <v>3.03</v>
      </c>
      <c r="G20" s="14" t="n">
        <v>-0.06270000000000001</v>
      </c>
      <c r="H20" s="17" t="inlineStr">
        <is>
          <t>S1</t>
        </is>
      </c>
    </row>
    <row r="21">
      <c r="A21" s="5" t="inlineStr">
        <is>
          <t>四足机器人 销售收入</t>
        </is>
      </c>
      <c r="B21" s="17" t="inlineStr">
        <is>
          <t>万元</t>
        </is>
      </c>
      <c r="C21" s="12" t="n">
        <v>11938.09</v>
      </c>
      <c r="D21" s="12" t="n">
        <v>23054.37</v>
      </c>
      <c r="E21" s="14" t="n">
        <v>0.9312</v>
      </c>
      <c r="F21" s="12" t="n">
        <v>69762.56</v>
      </c>
      <c r="G21" s="14" t="n">
        <v>2.026</v>
      </c>
      <c r="H21" s="17" t="inlineStr">
        <is>
          <t>S1</t>
        </is>
      </c>
    </row>
    <row r="22">
      <c r="A22" s="5" t="inlineStr">
        <is>
          <t>人形机器人 销量</t>
        </is>
      </c>
      <c r="B22" s="17" t="inlineStr">
        <is>
          <t>台</t>
        </is>
      </c>
      <c r="C22" s="13" t="n">
        <v>5</v>
      </c>
      <c r="D22" s="13" t="n">
        <v>412</v>
      </c>
      <c r="E22" s="14" t="n">
        <v>81.40000000000001</v>
      </c>
      <c r="F22" s="13" t="n">
        <v>5215</v>
      </c>
      <c r="G22" s="14" t="n">
        <v>11.6578</v>
      </c>
      <c r="H22" s="17" t="inlineStr">
        <is>
          <t>S1</t>
        </is>
      </c>
    </row>
    <row r="23">
      <c r="A23" s="5" t="inlineStr">
        <is>
          <t>人形机器人 平均单价</t>
        </is>
      </c>
      <c r="B23" s="17" t="inlineStr">
        <is>
          <t>万元/台</t>
        </is>
      </c>
      <c r="C23" s="12" t="n">
        <v>59.34</v>
      </c>
      <c r="D23" s="12" t="n">
        <v>26.04</v>
      </c>
      <c r="E23" s="14" t="n">
        <v>-0.5611</v>
      </c>
      <c r="F23" s="12" t="n">
        <v>16.64</v>
      </c>
      <c r="G23" s="14" t="n">
        <v>-0.361</v>
      </c>
      <c r="H23" s="17" t="inlineStr">
        <is>
          <t>S1</t>
        </is>
      </c>
    </row>
    <row r="24">
      <c r="A24" s="5" t="inlineStr">
        <is>
          <t>人形机器人 销售收入</t>
        </is>
      </c>
      <c r="B24" s="17" t="inlineStr">
        <is>
          <t>万元</t>
        </is>
      </c>
      <c r="C24" s="12" t="n">
        <v>296.71</v>
      </c>
      <c r="D24" s="12" t="n">
        <v>10729.76</v>
      </c>
      <c r="E24" s="14" t="n">
        <v>35.1624</v>
      </c>
      <c r="F24" s="12" t="n">
        <v>86783.19</v>
      </c>
      <c r="G24" s="14" t="n">
        <v>7.0881</v>
      </c>
      <c r="H24" s="17" t="inlineStr">
        <is>
          <t>S1</t>
        </is>
      </c>
    </row>
    <row r="25" ht="39" customHeight="1">
      <c r="A25" s="8" t="inlineStr">
        <is>
          <t>口径差异提示（重要）：招股说明书“第二节 概览”称2025年度公司人形机器人“出货量已超5,500台（纯人形，不含轮式双臂机器人），出货量全球第一”；而“第六节 财务会计信息”主营业务收入口径下2025年人形机器人“销量”为5,215台。两者相差约300台，系“出货量”与“确认收入销量”的口径差异（可能含发出商品、样机、期后确认等）。引用“全球第一”表述时必须使用出货量口径并注明，进行收入测算时必须使用5,215台销量口径。详见表10待核验事项。</t>
        </is>
      </c>
    </row>
    <row r="27" ht="26" customHeight="1">
      <c r="A27" s="15" t="inlineStr">
        <is>
          <t>表4-4 主营业务收入按市场区域构成（性质A；单位：万元）</t>
        </is>
      </c>
    </row>
    <row r="28" ht="30" customHeight="1">
      <c r="A28" s="7" t="inlineStr">
        <is>
          <t>区域</t>
        </is>
      </c>
      <c r="B28" s="7" t="inlineStr">
        <is>
          <t>2023收入</t>
        </is>
      </c>
      <c r="C28" s="7" t="inlineStr">
        <is>
          <t>2023占比</t>
        </is>
      </c>
      <c r="D28" s="7" t="inlineStr">
        <is>
          <t>2024收入</t>
        </is>
      </c>
      <c r="E28" s="7" t="inlineStr">
        <is>
          <t>2024占比</t>
        </is>
      </c>
      <c r="F28" s="7" t="inlineStr">
        <is>
          <t>2025收入</t>
        </is>
      </c>
      <c r="G28" s="7" t="inlineStr">
        <is>
          <t>2025占比</t>
        </is>
      </c>
      <c r="H28" s="7" t="inlineStr">
        <is>
          <t>来源</t>
        </is>
      </c>
    </row>
    <row r="29">
      <c r="A29" s="5" t="inlineStr">
        <is>
          <t>境内销售</t>
        </is>
      </c>
      <c r="B29" s="12" t="n">
        <v>6989.41</v>
      </c>
      <c r="C29" s="14" t="n">
        <v>0.4437</v>
      </c>
      <c r="D29" s="12" t="n">
        <v>17156.55</v>
      </c>
      <c r="E29" s="14" t="n">
        <v>0.4426</v>
      </c>
      <c r="F29" s="12" t="n">
        <v>94445.56</v>
      </c>
      <c r="G29" s="14" t="n">
        <v>0.5635</v>
      </c>
      <c r="H29" s="5" t="inlineStr">
        <is>
          <t>S1</t>
        </is>
      </c>
    </row>
    <row r="30">
      <c r="A30" s="5" t="inlineStr">
        <is>
          <t>境外销售</t>
        </is>
      </c>
      <c r="B30" s="12" t="n">
        <v>8764.24</v>
      </c>
      <c r="C30" s="14" t="n">
        <v>0.5563</v>
      </c>
      <c r="D30" s="12" t="n">
        <v>21610.74</v>
      </c>
      <c r="E30" s="14" t="n">
        <v>0.5574</v>
      </c>
      <c r="F30" s="12" t="n">
        <v>73165.53</v>
      </c>
      <c r="G30" s="14" t="n">
        <v>0.4365</v>
      </c>
      <c r="H30" s="5" t="inlineStr">
        <is>
          <t>S1</t>
        </is>
      </c>
    </row>
    <row r="31">
      <c r="A31" s="25" t="inlineStr">
        <is>
          <t>合计</t>
        </is>
      </c>
      <c r="B31" s="26" t="n">
        <v>15753.65</v>
      </c>
      <c r="C31" s="27" t="n">
        <v>1</v>
      </c>
      <c r="D31" s="26" t="n">
        <v>38767.28</v>
      </c>
      <c r="E31" s="27" t="n">
        <v>1</v>
      </c>
      <c r="F31" s="26" t="n">
        <v>167611.09</v>
      </c>
      <c r="G31" s="27" t="n">
        <v>1</v>
      </c>
      <c r="H31" s="25" t="inlineStr">
        <is>
          <t>S1</t>
        </is>
      </c>
    </row>
    <row r="32" ht="26" customHeight="1">
      <c r="A32" s="9" t="inlineStr">
        <is>
          <t>招股说明书解释：2023—2024年境外收入占比略高于境内，显示产品在海外市场认可度较高；2025年境内占比大幅提升至56.35%，主要系2025年年初春晚演出提升全国品牌知名度，以及国内人工智能与机器人产业快速发展与政策支持带动科研教育、商业消费、行业应用客户采购需求。</t>
        </is>
      </c>
    </row>
    <row r="34" ht="26" customHeight="1">
      <c r="A34" s="15" t="inlineStr">
        <is>
          <t>表4-5 主营业务收入按季度构成（性质A；单位：万元）</t>
        </is>
      </c>
    </row>
    <row r="35" ht="30" customHeight="1">
      <c r="A35" s="7" t="inlineStr">
        <is>
          <t>季度</t>
        </is>
      </c>
      <c r="B35" s="7" t="inlineStr">
        <is>
          <t>2023收入</t>
        </is>
      </c>
      <c r="C35" s="7" t="inlineStr">
        <is>
          <t>2023占比</t>
        </is>
      </c>
      <c r="D35" s="7" t="inlineStr">
        <is>
          <t>2024收入</t>
        </is>
      </c>
      <c r="E35" s="7" t="inlineStr">
        <is>
          <t>2024占比</t>
        </is>
      </c>
      <c r="F35" s="7" t="inlineStr">
        <is>
          <t>2025收入</t>
        </is>
      </c>
      <c r="G35" s="7" t="inlineStr">
        <is>
          <t>2025占比</t>
        </is>
      </c>
      <c r="H35" s="7" t="inlineStr">
        <is>
          <t>来源</t>
        </is>
      </c>
    </row>
    <row r="36">
      <c r="A36" s="5" t="inlineStr">
        <is>
          <t>第一季度</t>
        </is>
      </c>
      <c r="B36" s="12" t="n">
        <v>3093.17</v>
      </c>
      <c r="C36" s="14" t="n">
        <v>0.1963</v>
      </c>
      <c r="D36" s="12" t="n">
        <v>6510.98</v>
      </c>
      <c r="E36" s="14" t="n">
        <v>0.168</v>
      </c>
      <c r="F36" s="12" t="n">
        <v>24815.92</v>
      </c>
      <c r="G36" s="14" t="n">
        <v>0.1481</v>
      </c>
      <c r="H36" s="5" t="inlineStr">
        <is>
          <t>S1</t>
        </is>
      </c>
    </row>
    <row r="37">
      <c r="A37" s="5" t="inlineStr">
        <is>
          <t>第二季度</t>
        </is>
      </c>
      <c r="B37" s="12" t="n">
        <v>4143.92</v>
      </c>
      <c r="C37" s="14" t="n">
        <v>0.263</v>
      </c>
      <c r="D37" s="12" t="n">
        <v>6707.3</v>
      </c>
      <c r="E37" s="14" t="n">
        <v>0.173</v>
      </c>
      <c r="F37" s="12" t="n">
        <v>52095.34</v>
      </c>
      <c r="G37" s="14" t="n">
        <v>0.3108</v>
      </c>
      <c r="H37" s="5" t="inlineStr">
        <is>
          <t>S1</t>
        </is>
      </c>
    </row>
    <row r="38">
      <c r="A38" s="5" t="inlineStr">
        <is>
          <t>第三季度</t>
        </is>
      </c>
      <c r="B38" s="12" t="n">
        <v>3222.43</v>
      </c>
      <c r="C38" s="14" t="n">
        <v>0.2046</v>
      </c>
      <c r="D38" s="12" t="n">
        <v>9765.440000000001</v>
      </c>
      <c r="E38" s="14" t="n">
        <v>0.2519</v>
      </c>
      <c r="F38" s="12" t="n">
        <v>38543.68</v>
      </c>
      <c r="G38" s="14" t="n">
        <v>0.23</v>
      </c>
      <c r="H38" s="5" t="inlineStr">
        <is>
          <t>S1</t>
        </is>
      </c>
    </row>
    <row r="39">
      <c r="A39" s="5" t="inlineStr">
        <is>
          <t>第四季度</t>
        </is>
      </c>
      <c r="B39" s="12" t="n">
        <v>5294.13</v>
      </c>
      <c r="C39" s="14" t="n">
        <v>0.3361</v>
      </c>
      <c r="D39" s="12" t="n">
        <v>15783.55</v>
      </c>
      <c r="E39" s="14" t="n">
        <v>0.4071</v>
      </c>
      <c r="F39" s="12" t="n">
        <v>52156.15</v>
      </c>
      <c r="G39" s="14" t="n">
        <v>0.3112</v>
      </c>
      <c r="H39" s="5" t="inlineStr">
        <is>
          <t>S1</t>
        </is>
      </c>
    </row>
    <row r="40" ht="15" customHeight="1">
      <c r="A40" s="9" t="inlineStr">
        <is>
          <t>季节性：新产品多在下半年陆续形成收入并于第四季度形成规模收入；部分客户实行集中采购、预算管理，采购或验收多发生在第四季度，故各年四季度收入占比相对较高。</t>
        </is>
      </c>
    </row>
    <row r="42" ht="26" customHeight="1">
      <c r="A42" s="15" t="inlineStr">
        <is>
          <t>表4-6 主营业务收入按销售模式构成（性质A；单位：万元）</t>
        </is>
      </c>
    </row>
    <row r="43" ht="30" customHeight="1">
      <c r="A43" s="7" t="inlineStr">
        <is>
          <t>销售模式</t>
        </is>
      </c>
      <c r="B43" s="7" t="inlineStr">
        <is>
          <t>2023收入</t>
        </is>
      </c>
      <c r="C43" s="7" t="inlineStr">
        <is>
          <t>2023占比</t>
        </is>
      </c>
      <c r="D43" s="7" t="inlineStr">
        <is>
          <t>2024收入</t>
        </is>
      </c>
      <c r="E43" s="7" t="inlineStr">
        <is>
          <t>2024占比</t>
        </is>
      </c>
      <c r="F43" s="7" t="inlineStr">
        <is>
          <t>2025收入</t>
        </is>
      </c>
      <c r="G43" s="7" t="inlineStr">
        <is>
          <t>2025占比</t>
        </is>
      </c>
      <c r="H43" s="7" t="inlineStr">
        <is>
          <t>来源</t>
        </is>
      </c>
    </row>
    <row r="44">
      <c r="A44" s="5" t="inlineStr">
        <is>
          <t>线上销售</t>
        </is>
      </c>
      <c r="B44" s="12" t="n">
        <v>2069.52</v>
      </c>
      <c r="C44" s="14" t="n">
        <v>0.1314</v>
      </c>
      <c r="D44" s="12" t="n">
        <v>4026.34</v>
      </c>
      <c r="E44" s="14" t="n">
        <v>0.1039</v>
      </c>
      <c r="F44" s="12" t="n">
        <v>17970.42</v>
      </c>
      <c r="G44" s="14" t="n">
        <v>0.1072</v>
      </c>
      <c r="H44" s="5" t="inlineStr">
        <is>
          <t>S1</t>
        </is>
      </c>
    </row>
    <row r="45">
      <c r="A45" s="5" t="inlineStr">
        <is>
          <t xml:space="preserve">　其中：直接销售</t>
        </is>
      </c>
      <c r="B45" s="12" t="n">
        <v>2069.52</v>
      </c>
      <c r="C45" s="14" t="n">
        <v>0.1314</v>
      </c>
      <c r="D45" s="12" t="n">
        <v>4026.34</v>
      </c>
      <c r="E45" s="14" t="n">
        <v>0.1039</v>
      </c>
      <c r="F45" s="12" t="n">
        <v>13085.26</v>
      </c>
      <c r="G45" s="14" t="n">
        <v>0.0781</v>
      </c>
      <c r="H45" s="5" t="inlineStr">
        <is>
          <t>S1</t>
        </is>
      </c>
    </row>
    <row r="46">
      <c r="A46" s="5" t="inlineStr">
        <is>
          <t xml:space="preserve">　其中：电商入仓</t>
        </is>
      </c>
      <c r="B46" s="18" t="n"/>
      <c r="C46" s="20" t="n"/>
      <c r="D46" s="18" t="n"/>
      <c r="E46" s="20" t="n"/>
      <c r="F46" s="12" t="n">
        <v>4885.16</v>
      </c>
      <c r="G46" s="14" t="n">
        <v>0.0291</v>
      </c>
      <c r="H46" s="5" t="inlineStr">
        <is>
          <t>S1</t>
        </is>
      </c>
    </row>
    <row r="47">
      <c r="A47" s="5" t="inlineStr">
        <is>
          <t>线下销售</t>
        </is>
      </c>
      <c r="B47" s="12" t="n">
        <v>13684.13</v>
      </c>
      <c r="C47" s="14" t="n">
        <v>0.8686</v>
      </c>
      <c r="D47" s="12" t="n">
        <v>34740.94</v>
      </c>
      <c r="E47" s="14" t="n">
        <v>0.8961</v>
      </c>
      <c r="F47" s="12" t="n">
        <v>149640.68</v>
      </c>
      <c r="G47" s="14" t="n">
        <v>0.8928</v>
      </c>
      <c r="H47" s="5" t="inlineStr">
        <is>
          <t>S1</t>
        </is>
      </c>
    </row>
    <row r="48">
      <c r="A48" s="5" t="inlineStr">
        <is>
          <t xml:space="preserve">　其中：直销</t>
        </is>
      </c>
      <c r="B48" s="12" t="n">
        <v>8077.3</v>
      </c>
      <c r="C48" s="14" t="n">
        <v>0.5127</v>
      </c>
      <c r="D48" s="12" t="n">
        <v>20873.1</v>
      </c>
      <c r="E48" s="14" t="n">
        <v>0.5384</v>
      </c>
      <c r="F48" s="12" t="n">
        <v>85644.21000000001</v>
      </c>
      <c r="G48" s="14" t="n">
        <v>0.511</v>
      </c>
      <c r="H48" s="5" t="inlineStr">
        <is>
          <t>S1</t>
        </is>
      </c>
    </row>
    <row r="49">
      <c r="A49" s="5" t="inlineStr">
        <is>
          <t xml:space="preserve">　其中：经销</t>
        </is>
      </c>
      <c r="B49" s="12" t="n">
        <v>5606.83</v>
      </c>
      <c r="C49" s="14" t="n">
        <v>0.3559</v>
      </c>
      <c r="D49" s="12" t="n">
        <v>13867.84</v>
      </c>
      <c r="E49" s="14" t="n">
        <v>0.3577</v>
      </c>
      <c r="F49" s="12" t="n">
        <v>63996.47</v>
      </c>
      <c r="G49" s="14" t="n">
        <v>0.3818</v>
      </c>
      <c r="H49" s="5" t="inlineStr">
        <is>
          <t>S1</t>
        </is>
      </c>
    </row>
    <row r="51" ht="26" customHeight="1">
      <c r="A51" s="15" t="inlineStr">
        <is>
          <t>表4-7 主营业务成本按生产要素构成（性质A；单位：万元）</t>
        </is>
      </c>
    </row>
    <row r="52" ht="30" customHeight="1">
      <c r="A52" s="7" t="inlineStr">
        <is>
          <t>生产要素</t>
        </is>
      </c>
      <c r="B52" s="7" t="inlineStr">
        <is>
          <t>2023成本</t>
        </is>
      </c>
      <c r="C52" s="7" t="inlineStr">
        <is>
          <t>2023占比</t>
        </is>
      </c>
      <c r="D52" s="7" t="inlineStr">
        <is>
          <t>2024成本</t>
        </is>
      </c>
      <c r="E52" s="7" t="inlineStr">
        <is>
          <t>2024占比</t>
        </is>
      </c>
      <c r="F52" s="7" t="inlineStr">
        <is>
          <t>2025成本</t>
        </is>
      </c>
      <c r="G52" s="7" t="inlineStr">
        <is>
          <t>2025占比</t>
        </is>
      </c>
      <c r="H52" s="7" t="inlineStr">
        <is>
          <t>来源</t>
        </is>
      </c>
    </row>
    <row r="53">
      <c r="A53" s="5" t="inlineStr">
        <is>
          <t>直接材料</t>
        </is>
      </c>
      <c r="B53" s="12" t="n">
        <v>6403.99</v>
      </c>
      <c r="C53" s="14" t="n">
        <v>0.7287</v>
      </c>
      <c r="D53" s="12" t="n">
        <v>12230.44</v>
      </c>
      <c r="E53" s="14" t="n">
        <v>0.7292999999999999</v>
      </c>
      <c r="F53" s="12" t="n">
        <v>54615.94</v>
      </c>
      <c r="G53" s="14" t="n">
        <v>0.8173</v>
      </c>
      <c r="H53" s="5" t="inlineStr">
        <is>
          <t>S1</t>
        </is>
      </c>
    </row>
    <row r="54">
      <c r="A54" s="5" t="inlineStr">
        <is>
          <t>直接人工</t>
        </is>
      </c>
      <c r="B54" s="12" t="n">
        <v>1227.74</v>
      </c>
      <c r="C54" s="14" t="n">
        <v>0.1397</v>
      </c>
      <c r="D54" s="12" t="n">
        <v>2084.91</v>
      </c>
      <c r="E54" s="14" t="n">
        <v>0.1243</v>
      </c>
      <c r="F54" s="12" t="n">
        <v>5396.4</v>
      </c>
      <c r="G54" s="14" t="n">
        <v>0.0808</v>
      </c>
      <c r="H54" s="5" t="inlineStr">
        <is>
          <t>S1</t>
        </is>
      </c>
    </row>
    <row r="55">
      <c r="A55" s="5" t="inlineStr">
        <is>
          <t>制造费用</t>
        </is>
      </c>
      <c r="B55" s="12" t="n">
        <v>1156.18</v>
      </c>
      <c r="C55" s="14" t="n">
        <v>0.1316</v>
      </c>
      <c r="D55" s="12" t="n">
        <v>2455.31</v>
      </c>
      <c r="E55" s="14" t="n">
        <v>0.1464</v>
      </c>
      <c r="F55" s="12" t="n">
        <v>6813.69</v>
      </c>
      <c r="G55" s="14" t="n">
        <v>0.102</v>
      </c>
      <c r="H55" s="5" t="inlineStr">
        <is>
          <t>S1</t>
        </is>
      </c>
    </row>
    <row r="56" ht="26" customHeight="1">
      <c r="A56" s="9" t="inlineStr">
        <is>
          <t>招股说明书解释：2025年直接材料占比大幅上升、直接人工及制造费用占比下降，原因包括（1）规模优势凸显、生产工序标准化与人员熟练度提升带来生产效率提高；（2）材料成本占比较高的人形机器人收入占比由27.68%升至51.78%，拉高了直接材料整体占比。</t>
        </is>
      </c>
    </row>
    <row r="58" ht="26" customHeight="1">
      <c r="A58" s="15" t="inlineStr">
        <is>
          <t>表4-8 分产品毛利率（招股说明书披露口径）</t>
        </is>
      </c>
    </row>
    <row r="59" ht="30" customHeight="1">
      <c r="A59" s="7" t="inlineStr">
        <is>
          <t>产品分类</t>
        </is>
      </c>
      <c r="B59" s="7" t="inlineStr">
        <is>
          <t>2023毛利率</t>
        </is>
      </c>
      <c r="C59" s="7" t="inlineStr">
        <is>
          <t>2024毛利率</t>
        </is>
      </c>
      <c r="D59" s="7" t="inlineStr">
        <is>
          <t>2025毛利率</t>
        </is>
      </c>
      <c r="E59" s="7" t="inlineStr">
        <is>
          <t>披露方式</t>
        </is>
      </c>
      <c r="F59" s="7" t="inlineStr">
        <is>
          <t>来源</t>
        </is>
      </c>
      <c r="G59" s="7" t="inlineStr"/>
      <c r="H59" s="7" t="inlineStr"/>
    </row>
    <row r="60">
      <c r="A60" s="5" t="inlineStr">
        <is>
          <t>机器人组件</t>
        </is>
      </c>
      <c r="B60" s="14" t="n">
        <v>0.4876</v>
      </c>
      <c r="C60" s="14" t="n">
        <v>0.5694</v>
      </c>
      <c r="D60" s="14" t="n">
        <v>0.5936</v>
      </c>
      <c r="E60" s="5" t="inlineStr">
        <is>
          <t>招股说明书直接披露</t>
        </is>
      </c>
      <c r="F60" s="5" t="inlineStr">
        <is>
          <t>S1</t>
        </is>
      </c>
      <c r="G60" s="5" t="inlineStr"/>
      <c r="H60" s="5" t="inlineStr"/>
    </row>
    <row r="61" ht="15" customHeight="1">
      <c r="A61" s="9" t="inlineStr">
        <is>
          <t>四足机器人、人形机器人的分产品毛利率招股说明书未以百分比直接列示，本底稿在表7-3中依据表4-1收入与表4-2成本用公式计算得出（计算结果标记为性质E·测算）。</t>
        </is>
      </c>
    </row>
  </sheetData>
  <mergeCells count="13">
    <mergeCell ref="A9:H9"/>
    <mergeCell ref="A56:H56"/>
    <mergeCell ref="A34:H34"/>
    <mergeCell ref="A25:H25"/>
    <mergeCell ref="A51:H51"/>
    <mergeCell ref="A40:H40"/>
    <mergeCell ref="A42:H42"/>
    <mergeCell ref="A1:H1"/>
    <mergeCell ref="A32:H32"/>
    <mergeCell ref="A27:H27"/>
    <mergeCell ref="A61:H61"/>
    <mergeCell ref="A58:H58"/>
    <mergeCell ref="A17:H17"/>
  </mergeCell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H51"/>
  <sheetViews>
    <sheetView showGridLines="0" workbookViewId="0">
      <selection activeCell="A1" sqref="A1"/>
    </sheetView>
  </sheetViews>
  <sheetFormatPr baseColWidth="8" defaultRowHeight="15"/>
  <cols>
    <col width="30" customWidth="1" min="1" max="1"/>
    <col width="14" customWidth="1" min="2" max="2"/>
    <col width="20" customWidth="1" min="3" max="3"/>
    <col width="13" customWidth="1" min="4" max="4"/>
    <col width="13" customWidth="1" min="5" max="5"/>
    <col width="6" customWidth="1" min="6" max="6"/>
    <col width="6" customWidth="1" min="7" max="7"/>
    <col width="8" customWidth="1" min="8" max="8"/>
  </cols>
  <sheetData>
    <row r="1" ht="26" customHeight="1">
      <c r="A1" s="1" t="inlineStr">
        <is>
          <t>表5-1 报告期前五大客户（性质A；单位：万元）</t>
        </is>
      </c>
    </row>
    <row r="2" ht="30" customHeight="1">
      <c r="A2" s="7" t="inlineStr">
        <is>
          <t>年度</t>
        </is>
      </c>
      <c r="B2" s="7" t="inlineStr">
        <is>
          <t>序号</t>
        </is>
      </c>
      <c r="C2" s="7" t="inlineStr">
        <is>
          <t>客户名称</t>
        </is>
      </c>
      <c r="D2" s="7" t="inlineStr">
        <is>
          <t>销售金额</t>
        </is>
      </c>
      <c r="E2" s="7" t="inlineStr">
        <is>
          <t>占营业收入比例</t>
        </is>
      </c>
      <c r="F2" s="7" t="inlineStr">
        <is>
          <t>来源</t>
        </is>
      </c>
    </row>
    <row r="3">
      <c r="A3" s="13" t="n">
        <v>2025</v>
      </c>
      <c r="B3" s="28" t="n">
        <v>1</v>
      </c>
      <c r="C3" s="5" t="inlineStr">
        <is>
          <t>境外客户N（欧洲）</t>
        </is>
      </c>
      <c r="D3" s="12" t="n">
        <v>5288.74</v>
      </c>
      <c r="E3" s="14" t="n">
        <v>0.0311</v>
      </c>
      <c r="F3" s="5" t="inlineStr">
        <is>
          <t>S1</t>
        </is>
      </c>
    </row>
    <row r="4">
      <c r="A4" s="13" t="n">
        <v>2025</v>
      </c>
      <c r="B4" s="28" t="n">
        <v>2</v>
      </c>
      <c r="C4" s="5" t="inlineStr">
        <is>
          <t>京东集团股份有限公司</t>
        </is>
      </c>
      <c r="D4" s="12" t="n">
        <v>4887.32</v>
      </c>
      <c r="E4" s="14" t="n">
        <v>0.0288</v>
      </c>
      <c r="F4" s="5" t="inlineStr">
        <is>
          <t>S1</t>
        </is>
      </c>
    </row>
    <row r="5">
      <c r="A5" s="13" t="n">
        <v>2025</v>
      </c>
      <c r="B5" s="28" t="n">
        <v>3</v>
      </c>
      <c r="C5" s="5" t="inlineStr">
        <is>
          <t>境外客户A（亚洲）</t>
        </is>
      </c>
      <c r="D5" s="12" t="n">
        <v>4282.66</v>
      </c>
      <c r="E5" s="14" t="n">
        <v>0.0252</v>
      </c>
      <c r="F5" s="5" t="inlineStr">
        <is>
          <t>S1</t>
        </is>
      </c>
    </row>
    <row r="6">
      <c r="A6" s="13" t="n">
        <v>2025</v>
      </c>
      <c r="B6" s="28" t="n">
        <v>4</v>
      </c>
      <c r="C6" s="5" t="inlineStr">
        <is>
          <t>北京朝元时代科技有限公司</t>
        </is>
      </c>
      <c r="D6" s="12" t="n">
        <v>3070.69</v>
      </c>
      <c r="E6" s="14" t="n">
        <v>0.0181</v>
      </c>
      <c r="F6" s="5" t="inlineStr">
        <is>
          <t>S1</t>
        </is>
      </c>
    </row>
    <row r="7">
      <c r="A7" s="13" t="n">
        <v>2025</v>
      </c>
      <c r="B7" s="28" t="n">
        <v>5</v>
      </c>
      <c r="C7" s="5" t="inlineStr">
        <is>
          <t>境外客户B（亚洲）</t>
        </is>
      </c>
      <c r="D7" s="12" t="n">
        <v>3002.16</v>
      </c>
      <c r="E7" s="14" t="n">
        <v>0.0177</v>
      </c>
      <c r="F7" s="5" t="inlineStr">
        <is>
          <t>S1</t>
        </is>
      </c>
    </row>
    <row r="8">
      <c r="A8" s="29" t="n">
        <v>2025</v>
      </c>
      <c r="B8" s="25" t="inlineStr">
        <is>
          <t>合计</t>
        </is>
      </c>
      <c r="C8" s="25" t="inlineStr">
        <is>
          <t>前五大客户合计</t>
        </is>
      </c>
      <c r="D8" s="26" t="n">
        <v>20531.58</v>
      </c>
      <c r="E8" s="27" t="n">
        <v>0.1208</v>
      </c>
      <c r="F8" s="25" t="inlineStr">
        <is>
          <t>S1</t>
        </is>
      </c>
    </row>
    <row r="9">
      <c r="A9" s="13" t="n">
        <v>2024</v>
      </c>
      <c r="B9" s="28" t="n">
        <v>1</v>
      </c>
      <c r="C9" s="5" t="inlineStr">
        <is>
          <t>境外客户A（亚洲）</t>
        </is>
      </c>
      <c r="D9" s="12" t="n">
        <v>1443.27</v>
      </c>
      <c r="E9" s="14" t="n">
        <v>0.0367</v>
      </c>
      <c r="F9" s="5" t="inlineStr">
        <is>
          <t>S1</t>
        </is>
      </c>
    </row>
    <row r="10">
      <c r="A10" s="13" t="n">
        <v>2024</v>
      </c>
      <c r="B10" s="28" t="n">
        <v>2</v>
      </c>
      <c r="C10" s="5" t="inlineStr">
        <is>
          <t>境外客户B（亚洲）</t>
        </is>
      </c>
      <c r="D10" s="12" t="n">
        <v>1066.81</v>
      </c>
      <c r="E10" s="14" t="n">
        <v>0.0272</v>
      </c>
      <c r="F10" s="5" t="inlineStr">
        <is>
          <t>S1</t>
        </is>
      </c>
    </row>
    <row r="11">
      <c r="A11" s="13" t="n">
        <v>2024</v>
      </c>
      <c r="B11" s="28" t="n">
        <v>3</v>
      </c>
      <c r="C11" s="5" t="inlineStr">
        <is>
          <t>境外客户Q（北美洲）</t>
        </is>
      </c>
      <c r="D11" s="12" t="n">
        <v>884.9400000000001</v>
      </c>
      <c r="E11" s="14" t="n">
        <v>0.0225</v>
      </c>
      <c r="F11" s="5" t="inlineStr">
        <is>
          <t>S1</t>
        </is>
      </c>
    </row>
    <row r="12">
      <c r="A12" s="13" t="n">
        <v>2024</v>
      </c>
      <c r="B12" s="28" t="n">
        <v>4</v>
      </c>
      <c r="C12" s="5" t="inlineStr">
        <is>
          <t>境外客户C（欧洲）</t>
        </is>
      </c>
      <c r="D12" s="12" t="n">
        <v>780.02</v>
      </c>
      <c r="E12" s="14" t="n">
        <v>0.0199</v>
      </c>
      <c r="F12" s="5" t="inlineStr">
        <is>
          <t>S1</t>
        </is>
      </c>
    </row>
    <row r="13">
      <c r="A13" s="13" t="n">
        <v>2024</v>
      </c>
      <c r="B13" s="28" t="n">
        <v>5</v>
      </c>
      <c r="C13" s="5" t="inlineStr">
        <is>
          <t>境内客户A1</t>
        </is>
      </c>
      <c r="D13" s="12" t="n">
        <v>715.27</v>
      </c>
      <c r="E13" s="14" t="n">
        <v>0.0182</v>
      </c>
      <c r="F13" s="5" t="inlineStr">
        <is>
          <t>S1</t>
        </is>
      </c>
    </row>
    <row r="14">
      <c r="A14" s="29" t="n">
        <v>2024</v>
      </c>
      <c r="B14" s="25" t="inlineStr">
        <is>
          <t>合计</t>
        </is>
      </c>
      <c r="C14" s="25" t="inlineStr">
        <is>
          <t>前五大客户合计</t>
        </is>
      </c>
      <c r="D14" s="26" t="n">
        <v>4890.31</v>
      </c>
      <c r="E14" s="27" t="n">
        <v>0.1245</v>
      </c>
      <c r="F14" s="25" t="inlineStr">
        <is>
          <t>S1</t>
        </is>
      </c>
    </row>
    <row r="15">
      <c r="A15" s="13" t="n">
        <v>2023</v>
      </c>
      <c r="B15" s="28" t="n">
        <v>1</v>
      </c>
      <c r="C15" s="5" t="inlineStr">
        <is>
          <t>境外客户D（北美洲）</t>
        </is>
      </c>
      <c r="D15" s="12" t="n">
        <v>509.5</v>
      </c>
      <c r="E15" s="14" t="n">
        <v>0.032</v>
      </c>
      <c r="F15" s="5" t="inlineStr">
        <is>
          <t>S1</t>
        </is>
      </c>
    </row>
    <row r="16">
      <c r="A16" s="13" t="n">
        <v>2023</v>
      </c>
      <c r="B16" s="28" t="n">
        <v>2</v>
      </c>
      <c r="C16" s="5" t="inlineStr">
        <is>
          <t>境外客户A（亚洲）</t>
        </is>
      </c>
      <c r="D16" s="12" t="n">
        <v>410</v>
      </c>
      <c r="E16" s="14" t="n">
        <v>0.0258</v>
      </c>
      <c r="F16" s="5" t="inlineStr">
        <is>
          <t>S1</t>
        </is>
      </c>
    </row>
    <row r="17">
      <c r="A17" s="13" t="n">
        <v>2023</v>
      </c>
      <c r="B17" s="28" t="n">
        <v>3</v>
      </c>
      <c r="C17" s="5" t="inlineStr">
        <is>
          <t>境外客户C（欧洲）</t>
        </is>
      </c>
      <c r="D17" s="12" t="n">
        <v>408.16</v>
      </c>
      <c r="E17" s="14" t="n">
        <v>0.0256</v>
      </c>
      <c r="F17" s="5" t="inlineStr">
        <is>
          <t>S1</t>
        </is>
      </c>
    </row>
    <row r="18">
      <c r="A18" s="13" t="n">
        <v>2023</v>
      </c>
      <c r="B18" s="28" t="n">
        <v>4</v>
      </c>
      <c r="C18" s="5" t="inlineStr">
        <is>
          <t>境外客户B（亚洲）</t>
        </is>
      </c>
      <c r="D18" s="12" t="n">
        <v>360.69</v>
      </c>
      <c r="E18" s="14" t="n">
        <v>0.0227</v>
      </c>
      <c r="F18" s="5" t="inlineStr">
        <is>
          <t>S1</t>
        </is>
      </c>
    </row>
    <row r="19">
      <c r="A19" s="13" t="n">
        <v>2023</v>
      </c>
      <c r="B19" s="28" t="n">
        <v>5</v>
      </c>
      <c r="C19" s="5" t="inlineStr">
        <is>
          <t>境内客户A1</t>
        </is>
      </c>
      <c r="D19" s="12" t="n">
        <v>331.18</v>
      </c>
      <c r="E19" s="14" t="n">
        <v>0.0208</v>
      </c>
      <c r="F19" s="5" t="inlineStr">
        <is>
          <t>S1</t>
        </is>
      </c>
    </row>
    <row r="20">
      <c r="A20" s="29" t="n">
        <v>2023</v>
      </c>
      <c r="B20" s="25" t="inlineStr">
        <is>
          <t>合计</t>
        </is>
      </c>
      <c r="C20" s="25" t="inlineStr">
        <is>
          <t>前五大客户合计</t>
        </is>
      </c>
      <c r="D20" s="26" t="n">
        <v>2019.53</v>
      </c>
      <c r="E20" s="27" t="n">
        <v>0.1269</v>
      </c>
      <c r="F20" s="25" t="inlineStr">
        <is>
          <t>S1</t>
        </is>
      </c>
    </row>
    <row r="21" ht="26" customHeight="1">
      <c r="A21" s="9" t="inlineStr">
        <is>
          <t>招股说明书结论：①销售金额对受同一实际控制人控制的客户合并计算；②不存在向单个客户销售比例超过营业收入50%的情形；③公司与报告期内前五大客户均不存在关联关系。客户集中度三年稳定在12%—13%区间，无单一大客户依赖。</t>
        </is>
      </c>
    </row>
    <row r="23" ht="26" customHeight="1">
      <c r="A23" s="15" t="inlineStr">
        <is>
          <t>表5-2 同行业可比公司营业收入与综合毛利率对比（性质A；单位：万元）</t>
        </is>
      </c>
    </row>
    <row r="24" ht="30" customHeight="1">
      <c r="A24" s="7" t="inlineStr">
        <is>
          <t>公司名称</t>
        </is>
      </c>
      <c r="B24" s="7" t="inlineStr">
        <is>
          <t>2023营业收入</t>
        </is>
      </c>
      <c r="C24" s="7" t="inlineStr">
        <is>
          <t>2023毛利率</t>
        </is>
      </c>
      <c r="D24" s="7" t="inlineStr">
        <is>
          <t>2024营业收入</t>
        </is>
      </c>
      <c r="E24" s="7" t="inlineStr">
        <is>
          <t>2024毛利率</t>
        </is>
      </c>
      <c r="F24" s="7" t="inlineStr">
        <is>
          <t>2025营业收入</t>
        </is>
      </c>
      <c r="G24" s="7" t="inlineStr">
        <is>
          <t>2025毛利率</t>
        </is>
      </c>
      <c r="H24" s="7" t="inlineStr">
        <is>
          <t>来源</t>
        </is>
      </c>
    </row>
    <row r="25">
      <c r="A25" s="5" t="inlineStr">
        <is>
          <t>优必选</t>
        </is>
      </c>
      <c r="B25" s="12" t="n">
        <v>105569.8</v>
      </c>
      <c r="C25" s="14" t="n">
        <v>0.3153</v>
      </c>
      <c r="D25" s="12" t="n">
        <v>130536.1</v>
      </c>
      <c r="E25" s="14" t="n">
        <v>0.2865</v>
      </c>
      <c r="F25" s="12" t="n">
        <v>200099.9</v>
      </c>
      <c r="G25" s="14" t="n">
        <v>0.3767</v>
      </c>
      <c r="H25" s="5" t="inlineStr">
        <is>
          <t>S1</t>
        </is>
      </c>
    </row>
    <row r="26">
      <c r="A26" s="5" t="inlineStr">
        <is>
          <t>越疆</t>
        </is>
      </c>
      <c r="B26" s="12" t="n">
        <v>28699.17</v>
      </c>
      <c r="C26" s="14" t="n">
        <v>0.4847</v>
      </c>
      <c r="D26" s="12" t="n">
        <v>37483.06</v>
      </c>
      <c r="E26" s="14" t="n">
        <v>0.4795</v>
      </c>
      <c r="F26" s="12" t="n">
        <v>49348.3</v>
      </c>
      <c r="G26" s="14" t="n">
        <v>0.4649</v>
      </c>
      <c r="H26" s="5" t="inlineStr">
        <is>
          <t>S1</t>
        </is>
      </c>
    </row>
    <row r="27">
      <c r="A27" s="5" t="inlineStr">
        <is>
          <t>云深处</t>
        </is>
      </c>
      <c r="B27" s="12" t="n">
        <v>5011.26</v>
      </c>
      <c r="C27" s="14" t="n">
        <v>0.3348</v>
      </c>
      <c r="D27" s="12" t="n">
        <v>10320.1</v>
      </c>
      <c r="E27" s="14" t="n">
        <v>0.3876</v>
      </c>
      <c r="F27" s="12" t="n">
        <v>33749.06</v>
      </c>
      <c r="G27" s="14" t="n">
        <v>0.5283</v>
      </c>
      <c r="H27" s="5" t="inlineStr">
        <is>
          <t>S1</t>
        </is>
      </c>
    </row>
    <row r="28">
      <c r="A28" s="5" t="inlineStr">
        <is>
          <t>乐聚智能</t>
        </is>
      </c>
      <c r="B28" s="12" t="n">
        <v>5398.83</v>
      </c>
      <c r="C28" s="14" t="n">
        <v>0.5044999999999999</v>
      </c>
      <c r="D28" s="12" t="n">
        <v>5550.03</v>
      </c>
      <c r="E28" s="14" t="n">
        <v>0.443</v>
      </c>
      <c r="F28" s="12" t="n">
        <v>25818.79</v>
      </c>
      <c r="G28" s="14" t="n">
        <v>0.4078</v>
      </c>
      <c r="H28" s="5" t="inlineStr">
        <is>
          <t>S1</t>
        </is>
      </c>
    </row>
    <row r="29">
      <c r="A29" s="25" t="inlineStr">
        <is>
          <t>可比公司平均值</t>
        </is>
      </c>
      <c r="B29" s="26" t="n">
        <v>36169.77</v>
      </c>
      <c r="C29" s="27" t="n">
        <v>0.4098</v>
      </c>
      <c r="D29" s="26" t="n">
        <v>45972.32</v>
      </c>
      <c r="E29" s="27" t="n">
        <v>0.3992</v>
      </c>
      <c r="F29" s="26" t="n">
        <v>77254.00999999999</v>
      </c>
      <c r="G29" s="27" t="n">
        <v>0.4444</v>
      </c>
      <c r="H29" s="25" t="inlineStr">
        <is>
          <t>S1</t>
        </is>
      </c>
    </row>
    <row r="30">
      <c r="A30" s="25" t="inlineStr">
        <is>
          <t>宇树科技（公司）</t>
        </is>
      </c>
      <c r="B30" s="26" t="n">
        <v>15913.44</v>
      </c>
      <c r="C30" s="27" t="n">
        <v>0.4475</v>
      </c>
      <c r="D30" s="26" t="n">
        <v>39277.07</v>
      </c>
      <c r="E30" s="27" t="n">
        <v>0.5722</v>
      </c>
      <c r="F30" s="26" t="n">
        <v>169926.93</v>
      </c>
      <c r="G30" s="27" t="n">
        <v>0.6044</v>
      </c>
      <c r="H30" s="25" t="inlineStr">
        <is>
          <t>S1</t>
        </is>
      </c>
    </row>
    <row r="31" ht="26" customHeight="1">
      <c r="A31" s="9" t="inlineStr">
        <is>
          <t>可比公司主要产品：优必选—人形机器人/教育/物流/消费类（2025年人形机器人收入占比由上年2.7%升至41.1%）；越疆—协作机器人（人形机器人收入占比未超5%）；云深处—四足及轮足机器人（人形占比未超5%）；乐聚智能—2023/2024年以教育市场中小型人形机器人为主，2025年全尺寸人形机器人成为主要收入来源。招股说明书认为公司综合毛利率高于同行业公司具合理性，主因全栈自研自产降低硬件成本、规模效应，以及产品构成差异。</t>
        </is>
      </c>
    </row>
    <row r="33" ht="26" customHeight="1">
      <c r="A33" s="15" t="inlineStr">
        <is>
          <t>表5-3 应收账款预期信用损失计提比例对比（性质A）</t>
        </is>
      </c>
    </row>
    <row r="34" ht="30" customHeight="1">
      <c r="A34" s="7" t="inlineStr">
        <is>
          <t>证券简称</t>
        </is>
      </c>
      <c r="B34" s="7" t="inlineStr">
        <is>
          <t>2023-12-31</t>
        </is>
      </c>
      <c r="C34" s="7" t="inlineStr">
        <is>
          <t>2024-12-31</t>
        </is>
      </c>
      <c r="D34" s="7" t="inlineStr">
        <is>
          <t>2025-12-31</t>
        </is>
      </c>
      <c r="E34" s="7" t="inlineStr"/>
      <c r="F34" s="7" t="inlineStr"/>
      <c r="G34" s="7" t="inlineStr"/>
      <c r="H34" s="7" t="inlineStr">
        <is>
          <t>来源</t>
        </is>
      </c>
    </row>
    <row r="35">
      <c r="A35" s="5" t="inlineStr">
        <is>
          <t>越疆</t>
        </is>
      </c>
      <c r="B35" s="14" t="n">
        <v>0.1449</v>
      </c>
      <c r="C35" s="14" t="n">
        <v>0.1133</v>
      </c>
      <c r="D35" s="14" t="n">
        <v>0.1109</v>
      </c>
      <c r="E35" s="5" t="inlineStr"/>
      <c r="F35" s="5" t="inlineStr"/>
      <c r="G35" s="5" t="inlineStr"/>
      <c r="H35" s="5" t="inlineStr">
        <is>
          <t>S1</t>
        </is>
      </c>
    </row>
    <row r="36">
      <c r="A36" s="5" t="inlineStr">
        <is>
          <t>优必选</t>
        </is>
      </c>
      <c r="B36" s="14" t="n">
        <v>0.2199</v>
      </c>
      <c r="C36" s="14" t="n">
        <v>0.3035</v>
      </c>
      <c r="D36" s="14" t="n">
        <v>0.2929</v>
      </c>
      <c r="E36" s="5" t="inlineStr"/>
      <c r="F36" s="5" t="inlineStr"/>
      <c r="G36" s="5" t="inlineStr"/>
      <c r="H36" s="5" t="inlineStr">
        <is>
          <t>S1</t>
        </is>
      </c>
    </row>
    <row r="37">
      <c r="A37" s="5" t="inlineStr">
        <is>
          <t>云深处</t>
        </is>
      </c>
      <c r="B37" s="14" t="n">
        <v>0.0725</v>
      </c>
      <c r="C37" s="14" t="n">
        <v>0.0818</v>
      </c>
      <c r="D37" s="14" t="n">
        <v>0.097</v>
      </c>
      <c r="E37" s="5" t="inlineStr"/>
      <c r="F37" s="5" t="inlineStr"/>
      <c r="G37" s="5" t="inlineStr"/>
      <c r="H37" s="5" t="inlineStr">
        <is>
          <t>S1</t>
        </is>
      </c>
    </row>
    <row r="38">
      <c r="A38" s="5" t="inlineStr">
        <is>
          <t>乐聚智能</t>
        </is>
      </c>
      <c r="B38" s="14" t="n">
        <v>0.0504</v>
      </c>
      <c r="C38" s="14" t="n">
        <v>0.0536</v>
      </c>
      <c r="D38" s="14" t="n">
        <v>0.062</v>
      </c>
      <c r="E38" s="5" t="inlineStr"/>
      <c r="F38" s="5" t="inlineStr"/>
      <c r="G38" s="5" t="inlineStr"/>
      <c r="H38" s="5" t="inlineStr">
        <is>
          <t>S1</t>
        </is>
      </c>
    </row>
    <row r="39">
      <c r="A39" s="25" t="inlineStr">
        <is>
          <t>平均值</t>
        </is>
      </c>
      <c r="B39" s="27" t="n">
        <v>0.1219</v>
      </c>
      <c r="C39" s="27" t="n">
        <v>0.1381</v>
      </c>
      <c r="D39" s="27" t="n">
        <v>0.1407</v>
      </c>
      <c r="E39" s="25" t="inlineStr"/>
      <c r="F39" s="25" t="inlineStr"/>
      <c r="G39" s="25" t="inlineStr"/>
      <c r="H39" s="25" t="inlineStr">
        <is>
          <t>S1</t>
        </is>
      </c>
    </row>
    <row r="40">
      <c r="A40" s="25" t="inlineStr">
        <is>
          <t>宇树科技（公司）</t>
        </is>
      </c>
      <c r="B40" s="27" t="n">
        <v>0.0613</v>
      </c>
      <c r="C40" s="27" t="n">
        <v>0.0655</v>
      </c>
      <c r="D40" s="27" t="n">
        <v>0.0513</v>
      </c>
      <c r="E40" s="25" t="inlineStr"/>
      <c r="F40" s="25" t="inlineStr"/>
      <c r="G40" s="25" t="inlineStr"/>
      <c r="H40" s="25" t="inlineStr">
        <is>
          <t>S1</t>
        </is>
      </c>
    </row>
    <row r="41" ht="15" customHeight="1">
      <c r="A41" s="9" t="inlineStr">
        <is>
          <t>公司计提比例低于同行业平均水平，招股说明书解释为应收账款账龄相对较短、周转率相对较快、回款情况良好。此为分析中需保持关注的会计估计差异点（详见表9结论与表10待核验）。</t>
        </is>
      </c>
    </row>
    <row r="43" ht="26" customHeight="1">
      <c r="A43" s="15" t="inlineStr">
        <is>
          <t>表5-4 2025年末应收账款账面余额前五名（性质A；单位：万元）</t>
        </is>
      </c>
    </row>
    <row r="44" ht="30" customHeight="1">
      <c r="A44" s="7" t="inlineStr">
        <is>
          <t>单位名称</t>
        </is>
      </c>
      <c r="B44" s="7" t="inlineStr">
        <is>
          <t>期末余额</t>
        </is>
      </c>
      <c r="C44" s="7" t="inlineStr">
        <is>
          <t>占应收账款余额比例</t>
        </is>
      </c>
      <c r="D44" s="7" t="inlineStr">
        <is>
          <t>坏账准备</t>
        </is>
      </c>
      <c r="E44" s="7" t="inlineStr">
        <is>
          <t>账龄</t>
        </is>
      </c>
      <c r="F44" s="7" t="inlineStr"/>
      <c r="G44" s="7" t="inlineStr"/>
      <c r="H44" s="7" t="inlineStr">
        <is>
          <t>来源</t>
        </is>
      </c>
    </row>
    <row r="45">
      <c r="A45" s="5" t="inlineStr">
        <is>
          <t>北京京东世纪贸易有限公司</t>
        </is>
      </c>
      <c r="B45" s="12" t="n">
        <v>792.03</v>
      </c>
      <c r="C45" s="14" t="n">
        <v>0.1279</v>
      </c>
      <c r="D45" s="12" t="n">
        <v>39.6</v>
      </c>
      <c r="E45" s="5" t="inlineStr">
        <is>
          <t>1年以内</t>
        </is>
      </c>
      <c r="F45" s="5" t="inlineStr"/>
      <c r="G45" s="5" t="inlineStr"/>
      <c r="H45" s="5" t="inlineStr">
        <is>
          <t>S1</t>
        </is>
      </c>
    </row>
    <row r="46">
      <c r="A46" s="5" t="inlineStr">
        <is>
          <t>境外客户Y（北美洲）</t>
        </is>
      </c>
      <c r="B46" s="12" t="n">
        <v>287.3</v>
      </c>
      <c r="C46" s="14" t="n">
        <v>0.0464</v>
      </c>
      <c r="D46" s="12" t="n">
        <v>14.37</v>
      </c>
      <c r="E46" s="5" t="inlineStr">
        <is>
          <t>1年以内</t>
        </is>
      </c>
      <c r="F46" s="5" t="inlineStr"/>
      <c r="G46" s="5" t="inlineStr"/>
      <c r="H46" s="5" t="inlineStr">
        <is>
          <t>S1</t>
        </is>
      </c>
    </row>
    <row r="47">
      <c r="A47" s="5" t="inlineStr">
        <is>
          <t>杭州市消防救援支队</t>
        </is>
      </c>
      <c r="B47" s="12" t="n">
        <v>250</v>
      </c>
      <c r="C47" s="14" t="n">
        <v>0.0404</v>
      </c>
      <c r="D47" s="12" t="n">
        <v>12.5</v>
      </c>
      <c r="E47" s="5" t="inlineStr">
        <is>
          <t>1年以内</t>
        </is>
      </c>
      <c r="F47" s="5" t="inlineStr"/>
      <c r="G47" s="5" t="inlineStr"/>
      <c r="H47" s="5" t="inlineStr">
        <is>
          <t>S1</t>
        </is>
      </c>
    </row>
    <row r="48">
      <c r="A48" s="5" t="inlineStr">
        <is>
          <t>上海柔克智能科技有限公司</t>
        </is>
      </c>
      <c r="B48" s="12" t="n">
        <v>244.04</v>
      </c>
      <c r="C48" s="14" t="n">
        <v>0.0394</v>
      </c>
      <c r="D48" s="12" t="n">
        <v>12.2</v>
      </c>
      <c r="E48" s="5" t="inlineStr">
        <is>
          <t>1年以内</t>
        </is>
      </c>
      <c r="F48" s="5" t="inlineStr"/>
      <c r="G48" s="5" t="inlineStr"/>
      <c r="H48" s="5" t="inlineStr">
        <is>
          <t>S1</t>
        </is>
      </c>
    </row>
    <row r="49">
      <c r="A49" s="5" t="inlineStr">
        <is>
          <t>境外客户W（亚洲）</t>
        </is>
      </c>
      <c r="B49" s="12" t="n">
        <v>196.41</v>
      </c>
      <c r="C49" s="14" t="n">
        <v>0.0317</v>
      </c>
      <c r="D49" s="12" t="n">
        <v>9.82</v>
      </c>
      <c r="E49" s="5" t="inlineStr">
        <is>
          <t>1年以内</t>
        </is>
      </c>
      <c r="F49" s="5" t="inlineStr"/>
      <c r="G49" s="5" t="inlineStr"/>
      <c r="H49" s="5" t="inlineStr">
        <is>
          <t>S1</t>
        </is>
      </c>
    </row>
    <row r="50">
      <c r="A50" s="25" t="inlineStr">
        <is>
          <t>合计</t>
        </is>
      </c>
      <c r="B50" s="26" t="n">
        <v>1769.78</v>
      </c>
      <c r="C50" s="27" t="n">
        <v>0.2859</v>
      </c>
      <c r="D50" s="26" t="n">
        <v>88.48999999999999</v>
      </c>
      <c r="E50" s="25" t="inlineStr">
        <is>
          <t>—</t>
        </is>
      </c>
      <c r="F50" s="25" t="inlineStr"/>
      <c r="G50" s="25" t="inlineStr"/>
      <c r="H50" s="25" t="inlineStr">
        <is>
          <t>S1</t>
        </is>
      </c>
    </row>
    <row r="51" ht="15" customHeight="1">
      <c r="A51" s="8" t="inlineStr">
        <is>
          <t>由前五大应收账款余额占比28.59%可反推2025年末应收账款账面余额约6,196万元（测算，性质E）；该反推值未经招股说明书直接披露，正式引用前需核对招股说明书“应收账款”小节原文（见表10）。</t>
        </is>
      </c>
    </row>
  </sheetData>
  <mergeCells count="8">
    <mergeCell ref="A43:H43"/>
    <mergeCell ref="A1:F1"/>
    <mergeCell ref="A51:H51"/>
    <mergeCell ref="A41:H41"/>
    <mergeCell ref="A33:H33"/>
    <mergeCell ref="A23:H23"/>
    <mergeCell ref="A21:F21"/>
    <mergeCell ref="A31:H31"/>
  </mergeCell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G96"/>
  <sheetViews>
    <sheetView showGridLines="0" workbookViewId="0">
      <selection activeCell="A1" sqref="A1"/>
    </sheetView>
  </sheetViews>
  <sheetFormatPr baseColWidth="8" defaultRowHeight="15"/>
  <cols>
    <col width="34" customWidth="1" min="1" max="1"/>
    <col width="22" customWidth="1" min="2" max="2"/>
    <col width="20" customWidth="1" min="3" max="3"/>
    <col width="22" customWidth="1" min="4" max="4"/>
    <col width="6" customWidth="1" min="5" max="5"/>
    <col width="8" customWidth="1" min="6" max="6"/>
    <col width="22" customWidth="1" min="7" max="7"/>
  </cols>
  <sheetData>
    <row r="1" ht="26" customHeight="1">
      <c r="A1" s="1" t="inlineStr">
        <is>
          <t>表6-1 本次发行前后股本结构（性质A；单位：万股）</t>
        </is>
      </c>
    </row>
    <row r="2" ht="30" customHeight="1">
      <c r="A2" s="7" t="inlineStr">
        <is>
          <t>序号</t>
        </is>
      </c>
      <c r="B2" s="7" t="inlineStr">
        <is>
          <t>股东名称</t>
        </is>
      </c>
      <c r="C2" s="7" t="inlineStr">
        <is>
          <t>发行前股份数(万股)</t>
        </is>
      </c>
      <c r="D2" s="7" t="inlineStr">
        <is>
          <t>发行前持股比例</t>
        </is>
      </c>
      <c r="E2" s="7" t="inlineStr">
        <is>
          <t>发行后股份数(万股)</t>
        </is>
      </c>
      <c r="F2" s="7" t="inlineStr">
        <is>
          <t>发行后持股比例</t>
        </is>
      </c>
    </row>
    <row r="3">
      <c r="A3" s="30" t="n">
        <v>1</v>
      </c>
      <c r="B3" s="31" t="inlineStr">
        <is>
          <t>王兴兴</t>
        </is>
      </c>
      <c r="C3" s="32" t="n">
        <v>8671.4964</v>
      </c>
      <c r="D3" s="33" t="n">
        <v>0.238216</v>
      </c>
      <c r="E3" s="32" t="n">
        <v>8671.4964</v>
      </c>
      <c r="F3" s="33" t="n">
        <v>0.214395</v>
      </c>
    </row>
    <row r="4">
      <c r="A4" s="13" t="n">
        <v>2</v>
      </c>
      <c r="B4" s="5" t="inlineStr">
        <is>
          <t>上海宇翼（员工持股平台）</t>
        </is>
      </c>
      <c r="C4" s="34" t="n">
        <v>3982.86</v>
      </c>
      <c r="D4" s="35" t="n">
        <v>0.109414</v>
      </c>
      <c r="E4" s="34" t="n">
        <v>3982.86</v>
      </c>
      <c r="F4" s="35" t="n">
        <v>0.098472</v>
      </c>
    </row>
    <row r="5">
      <c r="A5" s="13" t="n">
        <v>3</v>
      </c>
      <c r="B5" s="5" t="inlineStr">
        <is>
          <t>汉海信息</t>
        </is>
      </c>
      <c r="C5" s="34" t="n">
        <v>2770.677</v>
      </c>
      <c r="D5" s="35" t="n">
        <v>0.076114</v>
      </c>
      <c r="E5" s="34" t="n">
        <v>2770.677</v>
      </c>
      <c r="F5" s="35" t="n">
        <v>0.06850199999999999</v>
      </c>
    </row>
    <row r="6">
      <c r="A6" s="13" t="n">
        <v>4</v>
      </c>
      <c r="B6" s="5" t="inlineStr">
        <is>
          <t>宁波红杉</t>
        </is>
      </c>
      <c r="C6" s="34" t="n">
        <v>2260.5408</v>
      </c>
      <c r="D6" s="35" t="n">
        <v>0.0621</v>
      </c>
      <c r="E6" s="34" t="n">
        <v>2260.5408</v>
      </c>
      <c r="F6" s="35" t="n">
        <v>0.05589</v>
      </c>
    </row>
    <row r="7">
      <c r="A7" s="13" t="n">
        <v>5</v>
      </c>
      <c r="B7" s="5" t="inlineStr">
        <is>
          <t>Astrend IV</t>
        </is>
      </c>
      <c r="C7" s="34" t="n">
        <v>1610.595</v>
      </c>
      <c r="D7" s="35" t="n">
        <v>0.044245</v>
      </c>
      <c r="E7" s="34" t="n">
        <v>1610.595</v>
      </c>
      <c r="F7" s="35" t="n">
        <v>0.03982</v>
      </c>
    </row>
    <row r="8">
      <c r="A8" s="13" t="n">
        <v>6</v>
      </c>
      <c r="B8" s="5" t="inlineStr">
        <is>
          <t>经纬壹号</t>
        </is>
      </c>
      <c r="C8" s="34" t="n">
        <v>1550.6316</v>
      </c>
      <c r="D8" s="35" t="n">
        <v>0.042598</v>
      </c>
      <c r="E8" s="34" t="n">
        <v>1550.6316</v>
      </c>
      <c r="F8" s="35" t="n">
        <v>0.038338</v>
      </c>
    </row>
    <row r="9">
      <c r="A9" s="13" t="n">
        <v>7</v>
      </c>
      <c r="B9" s="5" t="inlineStr">
        <is>
          <t>金石成长</t>
        </is>
      </c>
      <c r="C9" s="34" t="n">
        <v>1511.4204</v>
      </c>
      <c r="D9" s="35" t="n">
        <v>0.04152</v>
      </c>
      <c r="E9" s="34" t="n">
        <v>1511.4204</v>
      </c>
      <c r="F9" s="35" t="n">
        <v>0.037368</v>
      </c>
    </row>
    <row r="10">
      <c r="A10" s="13" t="n">
        <v>8</v>
      </c>
      <c r="B10" s="5" t="inlineStr">
        <is>
          <t>机器人基金</t>
        </is>
      </c>
      <c r="C10" s="34" t="n">
        <v>1392.804</v>
      </c>
      <c r="D10" s="35" t="n">
        <v>0.038262</v>
      </c>
      <c r="E10" s="34" t="n">
        <v>1392.804</v>
      </c>
      <c r="F10" s="35" t="n">
        <v>0.034436</v>
      </c>
    </row>
    <row r="11">
      <c r="A11" s="13" t="n">
        <v>9</v>
      </c>
      <c r="B11" s="5" t="inlineStr">
        <is>
          <t>嘉兴骅茂</t>
        </is>
      </c>
      <c r="C11" s="34" t="n">
        <v>1160.2332</v>
      </c>
      <c r="D11" s="35" t="n">
        <v>0.031873</v>
      </c>
      <c r="E11" s="34" t="n">
        <v>1160.2332</v>
      </c>
      <c r="F11" s="35" t="n">
        <v>0.028686</v>
      </c>
    </row>
    <row r="12">
      <c r="A12" s="13" t="n">
        <v>10</v>
      </c>
      <c r="B12" s="5" t="inlineStr">
        <is>
          <t>君万弘毅</t>
        </is>
      </c>
      <c r="C12" s="34" t="n">
        <v>1117.494</v>
      </c>
      <c r="D12" s="35" t="n">
        <v>0.030699</v>
      </c>
      <c r="E12" s="34" t="n">
        <v>1117.494</v>
      </c>
      <c r="F12" s="35" t="n">
        <v>0.027629</v>
      </c>
    </row>
    <row r="13">
      <c r="A13" s="13" t="n">
        <v>11</v>
      </c>
      <c r="B13" s="5" t="inlineStr">
        <is>
          <t>源码资本</t>
        </is>
      </c>
      <c r="C13" s="34" t="n">
        <v>947.7089999999999</v>
      </c>
      <c r="D13" s="35" t="n">
        <v>0.026035</v>
      </c>
      <c r="E13" s="34" t="n">
        <v>947.7089999999999</v>
      </c>
      <c r="F13" s="35" t="n">
        <v>0.023431</v>
      </c>
    </row>
    <row r="14">
      <c r="A14" s="13" t="n">
        <v>12</v>
      </c>
      <c r="B14" s="5" t="inlineStr">
        <is>
          <t>中网投</t>
        </is>
      </c>
      <c r="C14" s="34" t="n">
        <v>767.6676</v>
      </c>
      <c r="D14" s="35" t="n">
        <v>0.021089</v>
      </c>
      <c r="E14" s="34" t="n">
        <v>767.6676</v>
      </c>
      <c r="F14" s="35" t="n">
        <v>0.01898</v>
      </c>
    </row>
    <row r="15">
      <c r="A15" s="13" t="n">
        <v>13</v>
      </c>
      <c r="B15" s="5" t="inlineStr">
        <is>
          <t>Vertex</t>
        </is>
      </c>
      <c r="C15" s="34" t="n">
        <v>658.3248</v>
      </c>
      <c r="D15" s="35" t="n">
        <v>0.018085</v>
      </c>
      <c r="E15" s="34" t="n">
        <v>658.3248</v>
      </c>
      <c r="F15" s="35" t="n">
        <v>0.016276</v>
      </c>
    </row>
    <row r="16">
      <c r="A16" s="13" t="n">
        <v>14</v>
      </c>
      <c r="B16" s="5" t="inlineStr">
        <is>
          <t>宁波睿利</t>
        </is>
      </c>
      <c r="C16" s="34" t="n">
        <v>593.0442</v>
      </c>
      <c r="D16" s="35" t="n">
        <v>0.016292</v>
      </c>
      <c r="E16" s="34" t="n">
        <v>593.0442</v>
      </c>
      <c r="F16" s="35" t="n">
        <v>0.014662</v>
      </c>
    </row>
    <row r="17">
      <c r="A17" s="13" t="n">
        <v>15</v>
      </c>
      <c r="B17" s="5" t="inlineStr">
        <is>
          <t>海克斯康</t>
        </is>
      </c>
      <c r="C17" s="34" t="n">
        <v>484.5456</v>
      </c>
      <c r="D17" s="35" t="n">
        <v>0.013311</v>
      </c>
      <c r="E17" s="34" t="n">
        <v>484.5456</v>
      </c>
      <c r="F17" s="35" t="n">
        <v>0.01198</v>
      </c>
    </row>
    <row r="18">
      <c r="A18" s="13" t="n">
        <v>16</v>
      </c>
      <c r="B18" s="5" t="inlineStr">
        <is>
          <t>新疆深创投</t>
        </is>
      </c>
      <c r="C18" s="34" t="n">
        <v>469.1484</v>
      </c>
      <c r="D18" s="35" t="n">
        <v>0.012888</v>
      </c>
      <c r="E18" s="34" t="n">
        <v>469.1484</v>
      </c>
      <c r="F18" s="35" t="n">
        <v>0.011599</v>
      </c>
    </row>
    <row r="19">
      <c r="A19" s="13" t="n">
        <v>17</v>
      </c>
      <c r="B19" s="5" t="inlineStr">
        <is>
          <t>光合贰期</t>
        </is>
      </c>
      <c r="C19" s="34" t="n">
        <v>445.284</v>
      </c>
      <c r="D19" s="35" t="n">
        <v>0.012232</v>
      </c>
      <c r="E19" s="34" t="n">
        <v>445.284</v>
      </c>
      <c r="F19" s="35" t="n">
        <v>0.011009</v>
      </c>
    </row>
    <row r="20">
      <c r="A20" s="13" t="n">
        <v>18</v>
      </c>
      <c r="B20" s="5" t="inlineStr">
        <is>
          <t>经纬叁号</t>
        </is>
      </c>
      <c r="C20" s="34" t="n">
        <v>434.2842</v>
      </c>
      <c r="D20" s="35" t="n">
        <v>0.01193</v>
      </c>
      <c r="E20" s="34" t="n">
        <v>434.2842</v>
      </c>
      <c r="F20" s="35" t="n">
        <v>0.010737</v>
      </c>
    </row>
    <row r="21">
      <c r="A21" s="13" t="n">
        <v>19</v>
      </c>
      <c r="B21" s="5" t="inlineStr">
        <is>
          <t>浙江容腾</t>
        </is>
      </c>
      <c r="C21" s="34" t="n">
        <v>432.0288</v>
      </c>
      <c r="D21" s="35" t="n">
        <v>0.011868</v>
      </c>
      <c r="E21" s="34" t="n">
        <v>432.0288</v>
      </c>
      <c r="F21" s="35" t="n">
        <v>0.010682</v>
      </c>
    </row>
    <row r="22">
      <c r="A22" s="13" t="n">
        <v>20</v>
      </c>
      <c r="B22" s="5" t="inlineStr">
        <is>
          <t>Galaxy Z</t>
        </is>
      </c>
      <c r="C22" s="34" t="n">
        <v>370.8432</v>
      </c>
      <c r="D22" s="35" t="n">
        <v>0.010187</v>
      </c>
      <c r="E22" s="34" t="n">
        <v>370.8432</v>
      </c>
      <c r="F22" s="35" t="n">
        <v>0.009169</v>
      </c>
    </row>
    <row r="23">
      <c r="A23" s="13" t="n">
        <v>21</v>
      </c>
      <c r="B23" s="5" t="inlineStr">
        <is>
          <t>成都龙珠</t>
        </is>
      </c>
      <c r="C23" s="34" t="n">
        <v>370.8432</v>
      </c>
      <c r="D23" s="35" t="n">
        <v>0.010187</v>
      </c>
      <c r="E23" s="34" t="n">
        <v>370.8432</v>
      </c>
      <c r="F23" s="35" t="n">
        <v>0.009169</v>
      </c>
    </row>
    <row r="24">
      <c r="A24" s="13" t="n">
        <v>22</v>
      </c>
      <c r="B24" s="5" t="inlineStr">
        <is>
          <t>中关村科学城</t>
        </is>
      </c>
      <c r="C24" s="34" t="n">
        <v>338.8644</v>
      </c>
      <c r="D24" s="35" t="n">
        <v>0.009309</v>
      </c>
      <c r="E24" s="34" t="n">
        <v>338.8644</v>
      </c>
      <c r="F24" s="35" t="n">
        <v>0.008378</v>
      </c>
    </row>
    <row r="25">
      <c r="A25" s="13" t="n">
        <v>23</v>
      </c>
      <c r="B25" s="5" t="inlineStr">
        <is>
          <t>容腾二号</t>
        </is>
      </c>
      <c r="C25" s="34" t="n">
        <v>335.6388</v>
      </c>
      <c r="D25" s="35" t="n">
        <v>0.009220000000000001</v>
      </c>
      <c r="E25" s="34" t="n">
        <v>335.6388</v>
      </c>
      <c r="F25" s="35" t="n">
        <v>0.008298</v>
      </c>
    </row>
    <row r="26">
      <c r="A26" s="13" t="n">
        <v>24</v>
      </c>
      <c r="B26" s="5" t="inlineStr">
        <is>
          <t>厦门雅恒</t>
        </is>
      </c>
      <c r="C26" s="34" t="n">
        <v>329.4144</v>
      </c>
      <c r="D26" s="35" t="n">
        <v>0.009049</v>
      </c>
      <c r="E26" s="34" t="n">
        <v>329.4144</v>
      </c>
      <c r="F26" s="35" t="n">
        <v>0.008144</v>
      </c>
    </row>
    <row r="27">
      <c r="A27" s="13" t="n">
        <v>25</v>
      </c>
      <c r="B27" s="5" t="inlineStr">
        <is>
          <t>极思投资</t>
        </is>
      </c>
      <c r="C27" s="34" t="n">
        <v>326.8818</v>
      </c>
      <c r="D27" s="35" t="n">
        <v>0.00898</v>
      </c>
      <c r="E27" s="34" t="n">
        <v>326.8818</v>
      </c>
      <c r="F27" s="35" t="n">
        <v>0.008082000000000001</v>
      </c>
    </row>
    <row r="28">
      <c r="A28" s="13" t="n">
        <v>26</v>
      </c>
      <c r="B28" s="5" t="inlineStr">
        <is>
          <t>德迅投资</t>
        </is>
      </c>
      <c r="C28" s="34" t="n">
        <v>315.3024</v>
      </c>
      <c r="D28" s="35" t="n">
        <v>0.008662</v>
      </c>
      <c r="E28" s="34" t="n">
        <v>315.3024</v>
      </c>
      <c r="F28" s="35" t="n">
        <v>0.007796</v>
      </c>
    </row>
    <row r="29">
      <c r="A29" s="13" t="n">
        <v>27</v>
      </c>
      <c r="B29" s="5" t="inlineStr">
        <is>
          <t>广州初心</t>
        </is>
      </c>
      <c r="C29" s="34" t="n">
        <v>236.2122</v>
      </c>
      <c r="D29" s="35" t="n">
        <v>0.006489</v>
      </c>
      <c r="E29" s="34" t="n">
        <v>236.2122</v>
      </c>
      <c r="F29" s="35" t="n">
        <v>0.00584</v>
      </c>
    </row>
    <row r="30">
      <c r="A30" s="13" t="n">
        <v>28</v>
      </c>
      <c r="B30" s="5" t="inlineStr">
        <is>
          <t>杭州初心</t>
        </is>
      </c>
      <c r="C30" s="34" t="n">
        <v>222.2388</v>
      </c>
      <c r="D30" s="35" t="n">
        <v>0.006105</v>
      </c>
      <c r="E30" s="34" t="n">
        <v>222.2388</v>
      </c>
      <c r="F30" s="35" t="n">
        <v>0.005495</v>
      </c>
    </row>
    <row r="31">
      <c r="A31" s="13" t="n">
        <v>29</v>
      </c>
      <c r="B31" s="5" t="inlineStr">
        <is>
          <t>中移和创</t>
        </is>
      </c>
      <c r="C31" s="34" t="n">
        <v>217.917</v>
      </c>
      <c r="D31" s="35" t="n">
        <v>0.005986</v>
      </c>
      <c r="E31" s="34" t="n">
        <v>217.917</v>
      </c>
      <c r="F31" s="35" t="n">
        <v>0.005388</v>
      </c>
    </row>
    <row r="32">
      <c r="A32" s="13" t="n">
        <v>30</v>
      </c>
      <c r="B32" s="5" t="inlineStr">
        <is>
          <t>腾讯科技</t>
        </is>
      </c>
      <c r="C32" s="34" t="n">
        <v>217.917</v>
      </c>
      <c r="D32" s="35" t="n">
        <v>0.005986</v>
      </c>
      <c r="E32" s="34" t="n">
        <v>217.917</v>
      </c>
      <c r="F32" s="35" t="n">
        <v>0.005388</v>
      </c>
    </row>
    <row r="33">
      <c r="A33" s="13" t="n">
        <v>31</v>
      </c>
      <c r="B33" s="5" t="inlineStr">
        <is>
          <t>无锡锦秋</t>
        </is>
      </c>
      <c r="C33" s="34" t="n">
        <v>217.917</v>
      </c>
      <c r="D33" s="35" t="n">
        <v>0.005986</v>
      </c>
      <c r="E33" s="34" t="n">
        <v>217.917</v>
      </c>
      <c r="F33" s="35" t="n">
        <v>0.005388</v>
      </c>
    </row>
    <row r="34">
      <c r="A34" s="13" t="n">
        <v>32</v>
      </c>
      <c r="B34" s="5" t="inlineStr">
        <is>
          <t>琥珀安云</t>
        </is>
      </c>
      <c r="C34" s="34" t="n">
        <v>217.4634</v>
      </c>
      <c r="D34" s="35" t="n">
        <v>0.005974</v>
      </c>
      <c r="E34" s="34" t="n">
        <v>217.4634</v>
      </c>
      <c r="F34" s="35" t="n">
        <v>0.005377</v>
      </c>
    </row>
    <row r="35">
      <c r="A35" s="13" t="n">
        <v>33</v>
      </c>
      <c r="B35" s="5" t="inlineStr">
        <is>
          <t>江苏疌泉</t>
        </is>
      </c>
      <c r="C35" s="34" t="n">
        <v>216.0144</v>
      </c>
      <c r="D35" s="35" t="n">
        <v>0.005934</v>
      </c>
      <c r="E35" s="34" t="n">
        <v>216.0144</v>
      </c>
      <c r="F35" s="35" t="n">
        <v>0.005341</v>
      </c>
    </row>
    <row r="36">
      <c r="A36" s="13" t="n">
        <v>34</v>
      </c>
      <c r="B36" s="5" t="inlineStr">
        <is>
          <t>杭州灏月</t>
        </is>
      </c>
      <c r="C36" s="34" t="n">
        <v>163.4346</v>
      </c>
      <c r="D36" s="35" t="n">
        <v>0.00449</v>
      </c>
      <c r="E36" s="34" t="n">
        <v>163.4346</v>
      </c>
      <c r="F36" s="35" t="n">
        <v>0.004041</v>
      </c>
    </row>
    <row r="37">
      <c r="A37" s="13" t="n">
        <v>35</v>
      </c>
      <c r="B37" s="5" t="inlineStr">
        <is>
          <t>创新资本</t>
        </is>
      </c>
      <c r="C37" s="34" t="n">
        <v>136.5714</v>
      </c>
      <c r="D37" s="35" t="n">
        <v>0.003752</v>
      </c>
      <c r="E37" s="34" t="n">
        <v>136.5714</v>
      </c>
      <c r="F37" s="35" t="n">
        <v>0.003377</v>
      </c>
    </row>
    <row r="38">
      <c r="A38" s="13" t="n">
        <v>36</v>
      </c>
      <c r="B38" s="5" t="inlineStr">
        <is>
          <t>上海科创</t>
        </is>
      </c>
      <c r="C38" s="34" t="n">
        <v>136.3698</v>
      </c>
      <c r="D38" s="35" t="n">
        <v>0.003746</v>
      </c>
      <c r="E38" s="34" t="n">
        <v>136.3698</v>
      </c>
      <c r="F38" s="35" t="n">
        <v>0.003372</v>
      </c>
    </row>
    <row r="39">
      <c r="A39" s="13" t="n">
        <v>37</v>
      </c>
      <c r="B39" s="5" t="inlineStr">
        <is>
          <t>中证投资</t>
        </is>
      </c>
      <c r="C39" s="34" t="n">
        <v>122.9382</v>
      </c>
      <c r="D39" s="35" t="n">
        <v>0.003377</v>
      </c>
      <c r="E39" s="34" t="n">
        <v>122.9382</v>
      </c>
      <c r="F39" s="35" t="n">
        <v>0.00304</v>
      </c>
    </row>
    <row r="40">
      <c r="A40" s="13" t="n">
        <v>38</v>
      </c>
      <c r="B40" s="5" t="inlineStr">
        <is>
          <t>深创投集团</t>
        </is>
      </c>
      <c r="C40" s="34" t="n">
        <v>107.9568</v>
      </c>
      <c r="D40" s="35" t="n">
        <v>0.002966</v>
      </c>
      <c r="E40" s="34" t="n">
        <v>107.9568</v>
      </c>
      <c r="F40" s="35" t="n">
        <v>0.002669</v>
      </c>
    </row>
    <row r="41">
      <c r="A41" s="13" t="n">
        <v>39</v>
      </c>
      <c r="B41" s="5" t="inlineStr">
        <is>
          <t>天津算力</t>
        </is>
      </c>
      <c r="C41" s="34" t="n">
        <v>101.304</v>
      </c>
      <c r="D41" s="35" t="n">
        <v>0.002783</v>
      </c>
      <c r="E41" s="34" t="n">
        <v>101.304</v>
      </c>
      <c r="F41" s="35" t="n">
        <v>0.002505</v>
      </c>
    </row>
    <row r="42">
      <c r="A42" s="13" t="n">
        <v>40</v>
      </c>
      <c r="B42" s="5" t="inlineStr">
        <is>
          <t>祥峰厦门</t>
        </is>
      </c>
      <c r="C42" s="34" t="n">
        <v>95.9238</v>
      </c>
      <c r="D42" s="35" t="n">
        <v>0.002635</v>
      </c>
      <c r="E42" s="34" t="n">
        <v>95.9238</v>
      </c>
      <c r="F42" s="35" t="n">
        <v>0.002372</v>
      </c>
    </row>
    <row r="43">
      <c r="A43" s="13" t="n">
        <v>41</v>
      </c>
      <c r="B43" s="5" t="inlineStr">
        <is>
          <t>上海云玚</t>
        </is>
      </c>
      <c r="C43" s="34" t="n">
        <v>81.7236</v>
      </c>
      <c r="D43" s="35" t="n">
        <v>0.002245</v>
      </c>
      <c r="E43" s="34" t="n">
        <v>81.7236</v>
      </c>
      <c r="F43" s="35" t="n">
        <v>0.002021</v>
      </c>
    </row>
    <row r="44">
      <c r="A44" s="13" t="n">
        <v>42</v>
      </c>
      <c r="B44" s="5" t="inlineStr">
        <is>
          <t>钧石创投</t>
        </is>
      </c>
      <c r="C44" s="34" t="n">
        <v>67.0194</v>
      </c>
      <c r="D44" s="35" t="n">
        <v>0.001841</v>
      </c>
      <c r="E44" s="34" t="n">
        <v>67.0194</v>
      </c>
      <c r="F44" s="35" t="n">
        <v>0.001657</v>
      </c>
    </row>
    <row r="45">
      <c r="A45" s="13" t="n">
        <v>43</v>
      </c>
      <c r="B45" s="5" t="inlineStr">
        <is>
          <t>合创投资</t>
        </is>
      </c>
      <c r="C45" s="34" t="n">
        <v>54.4824</v>
      </c>
      <c r="D45" s="35" t="n">
        <v>0.001497</v>
      </c>
      <c r="E45" s="34" t="n">
        <v>54.4824</v>
      </c>
      <c r="F45" s="35" t="n">
        <v>0.001347</v>
      </c>
    </row>
    <row r="46">
      <c r="A46" s="13" t="n">
        <v>44</v>
      </c>
      <c r="B46" s="5" t="inlineStr">
        <is>
          <t>光越投资</t>
        </is>
      </c>
      <c r="C46" s="34" t="n">
        <v>49.4802</v>
      </c>
      <c r="D46" s="35" t="n">
        <v>0.001359</v>
      </c>
      <c r="E46" s="34" t="n">
        <v>49.4802</v>
      </c>
      <c r="F46" s="35" t="n">
        <v>0.001223</v>
      </c>
    </row>
    <row r="47">
      <c r="A47" s="13" t="n">
        <v>45</v>
      </c>
      <c r="B47" s="5" t="inlineStr">
        <is>
          <t>潍坊初心</t>
        </is>
      </c>
      <c r="C47" s="34" t="n">
        <v>45.6498</v>
      </c>
      <c r="D47" s="35" t="n">
        <v>0.001254</v>
      </c>
      <c r="E47" s="34" t="n">
        <v>45.6498</v>
      </c>
      <c r="F47" s="35" t="n">
        <v>0.001129</v>
      </c>
    </row>
    <row r="48">
      <c r="A48" s="13" t="n">
        <v>46</v>
      </c>
      <c r="B48" s="5" t="inlineStr">
        <is>
          <t>上海米达</t>
        </is>
      </c>
      <c r="C48" s="34" t="n">
        <v>44.6796</v>
      </c>
      <c r="D48" s="35" t="n">
        <v>0.001227</v>
      </c>
      <c r="E48" s="34" t="n">
        <v>44.6796</v>
      </c>
      <c r="F48" s="35" t="n">
        <v>0.001105</v>
      </c>
    </row>
    <row r="49">
      <c r="A49" s="36" t="n">
        <v>47</v>
      </c>
      <c r="B49" s="37" t="inlineStr">
        <is>
          <t>本次公开发行股份</t>
        </is>
      </c>
      <c r="C49" s="38" t="n"/>
      <c r="D49" s="38" t="n"/>
      <c r="E49" s="39" t="n">
        <v>4044.6434</v>
      </c>
      <c r="F49" s="40" t="n">
        <v>0.1</v>
      </c>
    </row>
    <row r="50">
      <c r="A50" s="25" t="inlineStr"/>
      <c r="B50" s="25" t="inlineStr">
        <is>
          <t>合计</t>
        </is>
      </c>
      <c r="C50" s="41" t="n">
        <v>36401.7906</v>
      </c>
      <c r="D50" s="42" t="n">
        <v>1</v>
      </c>
      <c r="E50" s="41" t="n">
        <v>40446.434</v>
      </c>
      <c r="F50" s="42" t="n">
        <v>1</v>
      </c>
    </row>
    <row r="52" ht="30" customHeight="1">
      <c r="A52" s="7" t="inlineStr">
        <is>
          <t>特别表决权安排（性质A，来源S1）</t>
        </is>
      </c>
      <c r="B52" s="7" t="inlineStr">
        <is>
          <t>数值</t>
        </is>
      </c>
      <c r="C52" s="7" t="inlineStr">
        <is>
          <t>说明</t>
        </is>
      </c>
      <c r="D52" s="7" t="inlineStr"/>
      <c r="E52" s="7" t="inlineStr"/>
      <c r="F52" s="7" t="inlineStr"/>
    </row>
    <row r="53">
      <c r="A53" s="4" t="inlineStr">
        <is>
          <t>特别表决权设置时点</t>
        </is>
      </c>
      <c r="B53" s="43" t="inlineStr">
        <is>
          <t>2025年5月16日</t>
        </is>
      </c>
      <c r="C53" s="6" t="inlineStr">
        <is>
          <t>公司召开杭州宇树科技股份有限公司成立大会暨第一次临时股东会，表决通过《关于&lt;股份公司关于设置特别表决权股份的方案&gt;的议案》</t>
        </is>
      </c>
      <c r="D53" s="44" t="n"/>
      <c r="E53" s="44" t="n"/>
      <c r="F53" s="45" t="n"/>
    </row>
    <row r="54">
      <c r="A54" s="4" t="inlineStr">
        <is>
          <t>王兴兴发行前直接持股比例</t>
        </is>
      </c>
      <c r="B54" s="46" t="n">
        <v>0.238216</v>
      </c>
      <c r="C54" s="6" t="inlineStr">
        <is>
          <t>直接持有8,671.4964万股，为公司控股股东</t>
        </is>
      </c>
      <c r="D54" s="44" t="n"/>
      <c r="E54" s="44" t="n"/>
      <c r="F54" s="45" t="n"/>
    </row>
    <row r="55">
      <c r="A55" s="4" t="inlineStr">
        <is>
          <t>王兴兴发行前直接持股部分表决权比例</t>
        </is>
      </c>
      <c r="B55" s="46" t="n">
        <v>0.635457</v>
      </c>
      <c r="C55" s="6" t="inlineStr">
        <is>
          <t>特别表决权安排下</t>
        </is>
      </c>
      <c r="D55" s="44" t="n"/>
      <c r="E55" s="44" t="n"/>
      <c r="F55" s="45" t="n"/>
    </row>
    <row r="56">
      <c r="A56" s="4" t="inlineStr">
        <is>
          <t>王兴兴发行前合计控制表决权比例</t>
        </is>
      </c>
      <c r="B56" s="46" t="n">
        <v>0.687816</v>
      </c>
      <c r="C56" s="6" t="inlineStr">
        <is>
          <t>直接持股表决权 + 通过杭州天则控制的上海宇翼员工股权激励持股平台</t>
        </is>
      </c>
      <c r="D56" s="44" t="n"/>
      <c r="E56" s="44" t="n"/>
      <c r="F56" s="45" t="n"/>
    </row>
    <row r="57">
      <c r="A57" s="4" t="inlineStr">
        <is>
          <t>王兴兴发行后直接持股比例</t>
        </is>
      </c>
      <c r="B57" s="46" t="n">
        <v>0.214395</v>
      </c>
      <c r="C57" s="6" t="inlineStr">
        <is>
          <t>股份数不变，因新股发行摊薄</t>
        </is>
      </c>
      <c r="D57" s="44" t="n"/>
      <c r="E57" s="44" t="n"/>
      <c r="F57" s="45" t="n"/>
    </row>
    <row r="58">
      <c r="A58" s="4" t="inlineStr">
        <is>
          <t>王兴兴发行后合计控制表决权比例</t>
        </is>
      </c>
      <c r="B58" s="46" t="n">
        <v>0.6530899999999999</v>
      </c>
      <c r="C58" s="6" t="inlineStr">
        <is>
          <t>本次发行不会造成公司实际控制人变更</t>
        </is>
      </c>
      <c r="D58" s="44" t="n"/>
      <c r="E58" s="44" t="n"/>
      <c r="F58" s="45" t="n"/>
    </row>
    <row r="59">
      <c r="A59" s="4" t="inlineStr">
        <is>
          <t>上海宇翼发行前持股比例</t>
        </is>
      </c>
      <c r="B59" s="46" t="n">
        <v>0.109414</v>
      </c>
      <c r="C59" s="6" t="inlineStr">
        <is>
          <t>员工股权激励持股平台，2022年1月与2025年6月先后两次对公司增资</t>
        </is>
      </c>
      <c r="D59" s="44" t="n"/>
      <c r="E59" s="44" t="n"/>
      <c r="F59" s="45" t="n"/>
    </row>
    <row r="60">
      <c r="A60" s="4" t="inlineStr">
        <is>
          <t>发行前前十名股东合计持股(万股)</t>
        </is>
      </c>
      <c r="B60" s="47" t="n">
        <v>26028.7524</v>
      </c>
      <c r="C60" s="6" t="inlineStr">
        <is>
          <t>占发行前总股本71.5041%</t>
        </is>
      </c>
      <c r="D60" s="44" t="n"/>
      <c r="E60" s="44" t="n"/>
      <c r="F60" s="45" t="n"/>
    </row>
    <row r="62" ht="26" customHeight="1">
      <c r="A62" s="15" t="inlineStr">
        <is>
          <t>表6-2 最终战略配售结果（性质A，来源S2；获配金额单位：元）</t>
        </is>
      </c>
    </row>
    <row r="63" ht="30" customHeight="1">
      <c r="A63" s="7" t="inlineStr">
        <is>
          <t>序号</t>
        </is>
      </c>
      <c r="B63" s="7" t="inlineStr">
        <is>
          <t>参与战略配售的投资者名称</t>
        </is>
      </c>
      <c r="C63" s="7" t="inlineStr">
        <is>
          <t>投资者类型</t>
        </is>
      </c>
      <c r="D63" s="7" t="inlineStr">
        <is>
          <t>获配股数(股)</t>
        </is>
      </c>
      <c r="E63" s="7" t="inlineStr">
        <is>
          <t>占本次发行数量比例</t>
        </is>
      </c>
      <c r="F63" s="7" t="inlineStr">
        <is>
          <t>获配金额(元)</t>
        </is>
      </c>
      <c r="G63" s="7" t="inlineStr">
        <is>
          <t>限售期</t>
        </is>
      </c>
    </row>
    <row r="64">
      <c r="A64" s="28" t="n">
        <v>1</v>
      </c>
      <c r="B64" s="5" t="inlineStr">
        <is>
          <t>全国社会保障基金理事会</t>
        </is>
      </c>
      <c r="C64" s="4" t="inlineStr">
        <is>
          <t>具有长期投资意愿的大型保险公司或其下属企业、国家级大型投资基金或其下属企业</t>
        </is>
      </c>
      <c r="D64" s="13" t="n">
        <v>933402</v>
      </c>
      <c r="E64" s="14" t="n">
        <v>0.0231</v>
      </c>
      <c r="F64" s="12" t="n">
        <v>140757021.6</v>
      </c>
      <c r="G64" s="5" t="inlineStr">
        <is>
          <t>12个月</t>
        </is>
      </c>
    </row>
    <row r="65">
      <c r="A65" s="17" t="inlineStr">
        <is>
          <t>1-1</t>
        </is>
      </c>
      <c r="B65" s="5" t="inlineStr">
        <is>
          <t xml:space="preserve">　全国社保基金六零一组合</t>
        </is>
      </c>
      <c r="C65" s="5" t="inlineStr">
        <is>
          <t>同上（明细）</t>
        </is>
      </c>
      <c r="D65" s="13" t="n">
        <v>340723</v>
      </c>
      <c r="E65" s="14" t="n">
        <v>0.008399999999999999</v>
      </c>
      <c r="F65" s="12" t="n">
        <v>51381028.4</v>
      </c>
      <c r="G65" s="5" t="inlineStr">
        <is>
          <t>12个月</t>
        </is>
      </c>
    </row>
    <row r="66">
      <c r="A66" s="17" t="inlineStr">
        <is>
          <t>1-2</t>
        </is>
      </c>
      <c r="B66" s="5" t="inlineStr">
        <is>
          <t xml:space="preserve">　全国社保基金五零二组合</t>
        </is>
      </c>
      <c r="C66" s="5" t="inlineStr">
        <is>
          <t>同上（明细）</t>
        </is>
      </c>
      <c r="D66" s="13" t="n">
        <v>326690</v>
      </c>
      <c r="E66" s="14" t="n">
        <v>0.0081</v>
      </c>
      <c r="F66" s="12" t="n">
        <v>49264852</v>
      </c>
      <c r="G66" s="5" t="inlineStr">
        <is>
          <t>12个月</t>
        </is>
      </c>
    </row>
    <row r="67">
      <c r="A67" s="17" t="inlineStr">
        <is>
          <t>1-3</t>
        </is>
      </c>
      <c r="B67" s="5" t="inlineStr">
        <is>
          <t xml:space="preserve">　全国社保基金一零九组合</t>
        </is>
      </c>
      <c r="C67" s="5" t="inlineStr">
        <is>
          <t>同上（明细）</t>
        </is>
      </c>
      <c r="D67" s="13" t="n">
        <v>265989</v>
      </c>
      <c r="E67" s="14" t="n">
        <v>0.0066</v>
      </c>
      <c r="F67" s="12" t="n">
        <v>40111141.2</v>
      </c>
      <c r="G67" s="5" t="inlineStr">
        <is>
          <t>12个月</t>
        </is>
      </c>
    </row>
    <row r="68">
      <c r="A68" s="28" t="n">
        <v>2</v>
      </c>
      <c r="B68" s="5" t="inlineStr">
        <is>
          <t>杭州深度求索人工智能基础技术研究有限公司</t>
        </is>
      </c>
      <c r="C68" s="4" t="inlineStr">
        <is>
          <t>与发行人经营业务具有战略合作关系或长期合作愿景的大型企业或其下属企业</t>
        </is>
      </c>
      <c r="D68" s="13" t="n">
        <v>933399</v>
      </c>
      <c r="E68" s="14" t="n">
        <v>0.0231</v>
      </c>
      <c r="F68" s="12" t="n">
        <v>140756569.2</v>
      </c>
      <c r="G68" s="5" t="inlineStr">
        <is>
          <t>36个月</t>
        </is>
      </c>
    </row>
    <row r="69">
      <c r="A69" s="28" t="n">
        <v>3</v>
      </c>
      <c r="B69" s="5" t="inlineStr">
        <is>
          <t>中国石油集团昆仑资本有限公司</t>
        </is>
      </c>
      <c r="C69" s="5" t="inlineStr">
        <is>
          <t>同上</t>
        </is>
      </c>
      <c r="D69" s="13" t="n">
        <v>903290</v>
      </c>
      <c r="E69" s="14" t="n">
        <v>0.0223</v>
      </c>
      <c r="F69" s="12" t="n">
        <v>136216132</v>
      </c>
      <c r="G69" s="5" t="inlineStr">
        <is>
          <t>12个月</t>
        </is>
      </c>
    </row>
    <row r="70">
      <c r="A70" s="28" t="n">
        <v>4</v>
      </c>
      <c r="B70" s="5" t="inlineStr">
        <is>
          <t>南方电网产融控股集团有限公司</t>
        </is>
      </c>
      <c r="C70" s="5" t="inlineStr">
        <is>
          <t>同上</t>
        </is>
      </c>
      <c r="D70" s="13" t="n">
        <v>903290</v>
      </c>
      <c r="E70" s="14" t="n">
        <v>0.0223</v>
      </c>
      <c r="F70" s="12" t="n">
        <v>136216132</v>
      </c>
      <c r="G70" s="5" t="inlineStr">
        <is>
          <t>12个月</t>
        </is>
      </c>
    </row>
    <row r="71">
      <c r="A71" s="28" t="n">
        <v>5</v>
      </c>
      <c r="B71" s="5" t="inlineStr">
        <is>
          <t>天翼资本控股有限公司</t>
        </is>
      </c>
      <c r="C71" s="5" t="inlineStr">
        <is>
          <t>同上</t>
        </is>
      </c>
      <c r="D71" s="13" t="n">
        <v>903290</v>
      </c>
      <c r="E71" s="14" t="n">
        <v>0.0223</v>
      </c>
      <c r="F71" s="12" t="n">
        <v>136216132</v>
      </c>
      <c r="G71" s="5" t="inlineStr">
        <is>
          <t>12个月</t>
        </is>
      </c>
    </row>
    <row r="72">
      <c r="A72" s="28" t="n">
        <v>6</v>
      </c>
      <c r="B72" s="5" t="inlineStr">
        <is>
          <t>上海启善投资有限公司（腾讯科技（上海）有限公司）</t>
        </is>
      </c>
      <c r="C72" s="5" t="inlineStr">
        <is>
          <t>同上</t>
        </is>
      </c>
      <c r="D72" s="13" t="n">
        <v>903290</v>
      </c>
      <c r="E72" s="14" t="n">
        <v>0.0223</v>
      </c>
      <c r="F72" s="12" t="n">
        <v>136216132</v>
      </c>
      <c r="G72" s="4" t="inlineStr">
        <is>
          <t>自腾讯科技（上海）首次取得发行人股份之日起36个月及自上市之日起12个月，以孰晚为准</t>
        </is>
      </c>
    </row>
    <row r="73">
      <c r="A73" s="28" t="n">
        <v>7</v>
      </c>
      <c r="B73" s="5" t="inlineStr">
        <is>
          <t>中信证券投资有限公司</t>
        </is>
      </c>
      <c r="C73" s="5" t="inlineStr">
        <is>
          <t>参与科创板跟投的保荐人相关子公司</t>
        </is>
      </c>
      <c r="D73" s="13" t="n">
        <v>808928</v>
      </c>
      <c r="E73" s="14" t="n">
        <v>0.02</v>
      </c>
      <c r="F73" s="12" t="n">
        <v>121986342.4</v>
      </c>
      <c r="G73" s="5" t="inlineStr">
        <is>
          <t>24个月</t>
        </is>
      </c>
    </row>
    <row r="74">
      <c r="A74" s="28" t="n">
        <v>8</v>
      </c>
      <c r="B74" s="5" t="inlineStr">
        <is>
          <t>宇树科技员工1号资管计划</t>
        </is>
      </c>
      <c r="C74" s="4" t="inlineStr">
        <is>
          <t>发行人高级管理人员与核心员工参与战略配售设立的专项资产管理计划</t>
        </is>
      </c>
      <c r="D74" s="13" t="n">
        <v>1356100</v>
      </c>
      <c r="E74" s="14" t="n">
        <v>0.0335</v>
      </c>
      <c r="F74" s="12" t="n">
        <v>204499880</v>
      </c>
      <c r="G74" s="5" t="inlineStr">
        <is>
          <t>12个月</t>
        </is>
      </c>
    </row>
    <row r="75">
      <c r="A75" s="28" t="n">
        <v>9</v>
      </c>
      <c r="B75" s="5" t="inlineStr">
        <is>
          <t>宇树科技员工2号资管计划</t>
        </is>
      </c>
      <c r="C75" s="5" t="inlineStr">
        <is>
          <t>同上</t>
        </is>
      </c>
      <c r="D75" s="13" t="n">
        <v>444297</v>
      </c>
      <c r="E75" s="14" t="n">
        <v>0.011</v>
      </c>
      <c r="F75" s="12" t="n">
        <v>66999987.6</v>
      </c>
      <c r="G75" s="5" t="inlineStr">
        <is>
          <t>36个月</t>
        </is>
      </c>
    </row>
    <row r="76">
      <c r="A76" s="25" t="inlineStr">
        <is>
          <t>合计</t>
        </is>
      </c>
      <c r="B76" s="25" t="inlineStr">
        <is>
          <t>最终战略配售</t>
        </is>
      </c>
      <c r="C76" s="25" t="inlineStr">
        <is>
          <t>占本次发行数量20.00%</t>
        </is>
      </c>
      <c r="D76" s="29" t="n">
        <v>8089286</v>
      </c>
      <c r="E76" s="27" t="n">
        <v>0.2</v>
      </c>
      <c r="F76" s="26" t="n">
        <v>1219864328.8</v>
      </c>
      <c r="G76" s="25" t="inlineStr">
        <is>
          <t>—</t>
        </is>
      </c>
    </row>
    <row r="77" ht="52" customHeight="1">
      <c r="A77" s="9" t="inlineStr">
        <is>
          <t>员工资管计划补充信息（来源S2）：1号计划全称“中信证券资管宇树科技员工参与科创板战略配售1号集合资产管理计划”，设立于2026年6月29日，备案2026年7月10日，募集资金规模20,450万元，参与认购的发行人核心员工159名；2号计划设立于2026年7月2日，募集资金规模6,700万元，参与认购的高级管理人员和核心员工12名。两个计划的管理人及实际支配主体均为中信证券资产管理有限公司，非发行人高级管理人员及核心员工。保荐人跟投：发行规模50亿元以上，跟投比例2%，中证投资获配808,928股、金额121,986,342.40元。序号1-1至1-3为序号1的明细组合，不参与合计（合计口径已由公告给出）。</t>
        </is>
      </c>
    </row>
    <row r="79" ht="26" customHeight="1">
      <c r="A79" s="15" t="inlineStr">
        <is>
          <t>表6-3 募集资金投资项目（性质A，来源S1；单位：万元）</t>
        </is>
      </c>
    </row>
    <row r="80" ht="30" customHeight="1">
      <c r="A80" s="7" t="inlineStr">
        <is>
          <t>序号</t>
        </is>
      </c>
      <c r="B80" s="7" t="inlineStr">
        <is>
          <t>项目名称</t>
        </is>
      </c>
      <c r="C80" s="7" t="inlineStr">
        <is>
          <t>项目投资总额</t>
        </is>
      </c>
      <c r="D80" s="7" t="inlineStr">
        <is>
          <t>拟使用募集资金</t>
        </is>
      </c>
      <c r="E80" s="7" t="inlineStr">
        <is>
          <t>占拟募资比例</t>
        </is>
      </c>
      <c r="F80" s="7" t="inlineStr">
        <is>
          <t>来源</t>
        </is>
      </c>
    </row>
    <row r="81">
      <c r="A81" s="13" t="n">
        <v>1</v>
      </c>
      <c r="B81" s="5" t="inlineStr">
        <is>
          <t>智能机器人模型研发项目</t>
        </is>
      </c>
      <c r="C81" s="12" t="n">
        <v>202245.93</v>
      </c>
      <c r="D81" s="12" t="n">
        <v>202245.93</v>
      </c>
      <c r="E81" s="48" t="n">
        <v>0.4813418161629004</v>
      </c>
      <c r="F81" s="17" t="inlineStr">
        <is>
          <t>S1</t>
        </is>
      </c>
    </row>
    <row r="82">
      <c r="A82" s="13" t="n">
        <v>2</v>
      </c>
      <c r="B82" s="5" t="inlineStr">
        <is>
          <t>机器人本体研发项目</t>
        </is>
      </c>
      <c r="C82" s="12" t="n">
        <v>110973.8</v>
      </c>
      <c r="D82" s="12" t="n">
        <v>110973.8</v>
      </c>
      <c r="E82" s="48" t="n">
        <v>0.2641157250407882</v>
      </c>
      <c r="F82" s="17" t="inlineStr">
        <is>
          <t>S1</t>
        </is>
      </c>
    </row>
    <row r="83">
      <c r="A83" s="13" t="n">
        <v>3</v>
      </c>
      <c r="B83" s="5" t="inlineStr">
        <is>
          <t>新型智能机器人产品开发项目</t>
        </is>
      </c>
      <c r="C83" s="12" t="n">
        <v>44540</v>
      </c>
      <c r="D83" s="12" t="n">
        <v>44540</v>
      </c>
      <c r="E83" s="48" t="n">
        <v>0.1060044298142147</v>
      </c>
      <c r="F83" s="17" t="inlineStr">
        <is>
          <t>S1</t>
        </is>
      </c>
    </row>
    <row r="84">
      <c r="A84" s="13" t="n">
        <v>4</v>
      </c>
      <c r="B84" s="5" t="inlineStr">
        <is>
          <t>智能机器人制造基地建设项目</t>
        </is>
      </c>
      <c r="C84" s="12" t="n">
        <v>62411.39</v>
      </c>
      <c r="D84" s="12" t="n">
        <v>62411.39</v>
      </c>
      <c r="E84" s="48" t="n">
        <v>0.1485380289820966</v>
      </c>
      <c r="F84" s="17" t="inlineStr">
        <is>
          <t>S1</t>
        </is>
      </c>
    </row>
    <row r="85">
      <c r="A85" s="25" t="inlineStr">
        <is>
          <t>—</t>
        </is>
      </c>
      <c r="B85" s="25" t="inlineStr">
        <is>
          <t>合计</t>
        </is>
      </c>
      <c r="C85" s="26" t="n">
        <v>420171.12</v>
      </c>
      <c r="D85" s="26" t="n">
        <v>420171.12</v>
      </c>
      <c r="E85" s="49" t="n">
        <v>1</v>
      </c>
      <c r="F85" s="25" t="inlineStr">
        <is>
          <t>S1</t>
        </is>
      </c>
    </row>
    <row r="86" ht="26" customHeight="1">
      <c r="A86" s="9" t="inlineStr">
        <is>
          <t>研发类项目（序号1+2+3）合计拟投入357,759.73万元，占拟募资总额85.15%；其中“智能机器人模型研发项目”单项占比48.13%，对应公司自研通用WMA模型与VLA模型等具身智能大模型方向。制造基地建设项目占比14.85%。募投项目已经公司第一届董事会第十四次会议、2026年第一次临时股东会审议通过。</t>
        </is>
      </c>
    </row>
    <row r="88" ht="26" customHeight="1">
      <c r="A88" s="15" t="inlineStr">
        <is>
          <t>表6-4 发行费用明细（性质A，来源S2；单位：万元，不含增值税）</t>
        </is>
      </c>
    </row>
    <row r="89" ht="30" customHeight="1">
      <c r="A89" s="7" t="inlineStr">
        <is>
          <t>内容</t>
        </is>
      </c>
      <c r="B89" s="7" t="inlineStr">
        <is>
          <t>发行费用金额(不含税)</t>
        </is>
      </c>
      <c r="C89" s="7" t="inlineStr">
        <is>
          <t>占发行费用比例</t>
        </is>
      </c>
      <c r="D89" s="7" t="inlineStr">
        <is>
          <t>占募集资金总额比例</t>
        </is>
      </c>
      <c r="E89" s="7" t="inlineStr"/>
      <c r="F89" s="7" t="inlineStr">
        <is>
          <t>来源</t>
        </is>
      </c>
    </row>
    <row r="90">
      <c r="A90" s="5" t="inlineStr">
        <is>
          <t>承销及保荐费</t>
        </is>
      </c>
      <c r="B90" s="12" t="n">
        <v>14499.32</v>
      </c>
      <c r="C90" s="14" t="n">
        <v>0.7959089459420737</v>
      </c>
      <c r="D90" s="50" t="n">
        <v>0.02377201847116717</v>
      </c>
      <c r="E90" s="17" t="inlineStr"/>
      <c r="F90" s="17" t="inlineStr">
        <is>
          <t>S2</t>
        </is>
      </c>
    </row>
    <row r="91">
      <c r="A91" s="5" t="inlineStr">
        <is>
          <t>审计及验资费</t>
        </is>
      </c>
      <c r="B91" s="12" t="n">
        <v>1828.3</v>
      </c>
      <c r="C91" s="14" t="n">
        <v>0.1003605911081274</v>
      </c>
      <c r="D91" s="50" t="n">
        <v>0.002997546186361495</v>
      </c>
      <c r="E91" s="17" t="inlineStr"/>
      <c r="F91" s="17" t="inlineStr">
        <is>
          <t>S2</t>
        </is>
      </c>
    </row>
    <row r="92">
      <c r="A92" s="5" t="inlineStr">
        <is>
          <t>律师费</t>
        </is>
      </c>
      <c r="B92" s="12" t="n">
        <v>1100</v>
      </c>
      <c r="C92" s="14" t="n">
        <v>0.06038213106106225</v>
      </c>
      <c r="D92" s="50" t="n">
        <v>0.00180347908165927</v>
      </c>
      <c r="E92" s="17" t="inlineStr"/>
      <c r="F92" s="17" t="inlineStr">
        <is>
          <t>S2</t>
        </is>
      </c>
    </row>
    <row r="93">
      <c r="A93" s="5" t="inlineStr">
        <is>
          <t>用于本次发行的信息披露费</t>
        </is>
      </c>
      <c r="B93" s="12" t="n">
        <v>603.77</v>
      </c>
      <c r="C93" s="14" t="n">
        <v>0.03314265388248869</v>
      </c>
      <c r="D93" s="50" t="n">
        <v>0.000989896877394016</v>
      </c>
      <c r="E93" s="17" t="inlineStr"/>
      <c r="F93" s="17" t="inlineStr">
        <is>
          <t>S2</t>
        </is>
      </c>
    </row>
    <row r="94">
      <c r="A94" s="5" t="inlineStr">
        <is>
          <t>发行手续费及其他费用</t>
        </is>
      </c>
      <c r="B94" s="12" t="n">
        <v>185.91</v>
      </c>
      <c r="C94" s="14" t="n">
        <v>0.01020512907778371</v>
      </c>
      <c r="D94" s="50" t="n">
        <v>0.0003048043600647954</v>
      </c>
      <c r="E94" s="17" t="inlineStr"/>
      <c r="F94" s="17" t="inlineStr">
        <is>
          <t>S2</t>
        </is>
      </c>
    </row>
    <row r="95">
      <c r="A95" s="25" t="inlineStr">
        <is>
          <t>合计</t>
        </is>
      </c>
      <c r="B95" s="26" t="n">
        <v>18217.31</v>
      </c>
      <c r="C95" s="27" t="n">
        <v>1</v>
      </c>
      <c r="D95" s="51" t="n">
        <v>0.02986776137191113</v>
      </c>
      <c r="E95" s="25" t="inlineStr"/>
      <c r="F95" s="25" t="inlineStr">
        <is>
          <t>S2</t>
        </is>
      </c>
    </row>
    <row r="96" ht="15" customHeight="1">
      <c r="A96" s="9" t="inlineStr">
        <is>
          <t>公告书注：以上发行费用口径均不含增值税金额，合计数与各分项数值之和尾数存在微小差异，为四舍五入造成。</t>
        </is>
      </c>
    </row>
  </sheetData>
  <mergeCells count="15">
    <mergeCell ref="C53:F53"/>
    <mergeCell ref="C56:F56"/>
    <mergeCell ref="A1:F1"/>
    <mergeCell ref="A77:G77"/>
    <mergeCell ref="C60:F60"/>
    <mergeCell ref="A79:F79"/>
    <mergeCell ref="A62:G62"/>
    <mergeCell ref="C59:F59"/>
    <mergeCell ref="C54:F54"/>
    <mergeCell ref="A88:F88"/>
    <mergeCell ref="A96:F96"/>
    <mergeCell ref="A86:F86"/>
    <mergeCell ref="C57:F57"/>
    <mergeCell ref="C58:F58"/>
    <mergeCell ref="C55:F55"/>
  </mergeCells>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J178"/>
  <sheetViews>
    <sheetView showGridLines="0" workbookViewId="0">
      <selection activeCell="A1" sqref="A1"/>
    </sheetView>
  </sheetViews>
  <sheetFormatPr baseColWidth="8" defaultRowHeight="15"/>
  <cols>
    <col width="40" customWidth="1" min="1" max="1"/>
    <col width="10" customWidth="1" min="2" max="2"/>
    <col width="14" customWidth="1" min="3" max="3"/>
    <col width="14" customWidth="1" min="4" max="4"/>
    <col width="14" customWidth="1" min="5" max="5"/>
    <col width="14" customWidth="1" min="6" max="6"/>
    <col width="14" customWidth="1" min="7" max="7"/>
    <col width="58" customWidth="1" min="8" max="8"/>
    <col width="13" customWidth="1" min="9" max="9"/>
  </cols>
  <sheetData>
    <row r="1" ht="26" customHeight="1">
      <c r="A1" s="1" t="inlineStr">
        <is>
          <t>核心计算表（全部由公式实时引用『02–06 原始数据』表，修改原始数据即自动重算）</t>
        </is>
      </c>
    </row>
    <row r="2" ht="26" customHeight="1">
      <c r="A2" s="9" t="inlineStr">
        <is>
          <t>本表所有数值单元格均为 Excel 公式而非硬编码（唯一例外为文字性说明）。计算结果的数据性质统一标记为“E·测算”，但公式所引用输入项的性质（A经审计 / B经审阅 / C未经审计 / D管理层预计）在“输入项性质”列中逐项保留，以免将预测数或未审计数误作已审计事实使用。单位统一为人民币万元（每股/单价指标为元，比率以小数存储、百分比格式显示）。</t>
        </is>
      </c>
    </row>
    <row r="3" ht="20" customHeight="1">
      <c r="A3" s="3" t="inlineStr">
        <is>
          <t>表7-1　成长性指标（营业收入与利润增速、复合增长率）</t>
        </is>
      </c>
    </row>
    <row r="4" ht="30" customHeight="1">
      <c r="A4" s="7" t="inlineStr">
        <is>
          <t>指标</t>
        </is>
      </c>
      <c r="B4" s="7" t="inlineStr">
        <is>
          <t>单位</t>
        </is>
      </c>
      <c r="C4" s="7" t="inlineStr">
        <is>
          <t>2024年度</t>
        </is>
      </c>
      <c r="D4" s="7" t="inlineStr">
        <is>
          <t>2025年度</t>
        </is>
      </c>
      <c r="E4" s="7" t="inlineStr">
        <is>
          <t>2026年1-3月</t>
        </is>
      </c>
      <c r="F4" s="7" t="inlineStr">
        <is>
          <t>2026年1-6月</t>
        </is>
      </c>
      <c r="G4" s="7" t="inlineStr">
        <is>
          <t>输入项性质</t>
        </is>
      </c>
      <c r="H4" s="7" t="inlineStr">
        <is>
          <t>计算口径与公式说明</t>
        </is>
      </c>
      <c r="I4" s="7" t="inlineStr">
        <is>
          <t>勾稽校验</t>
        </is>
      </c>
    </row>
    <row r="5">
      <c r="A5" s="5" t="inlineStr">
        <is>
          <t>营业收入同比增速</t>
        </is>
      </c>
      <c r="B5" s="52" t="inlineStr">
        <is>
          <t>%</t>
        </is>
      </c>
      <c r="C5" s="14">
        <f>'03_财务原始数据'!D5/'03_财务原始数据'!C5-1</f>
        <v/>
      </c>
      <c r="D5" s="14">
        <f>'03_财务原始数据'!E5/'03_财务原始数据'!D5-1</f>
        <v/>
      </c>
      <c r="E5" s="14">
        <f>'03_财务原始数据'!C68/'03_财务原始数据'!D68-1</f>
        <v/>
      </c>
      <c r="F5" s="14">
        <f>'03_财务原始数据'!C88/'03_财务原始数据'!D88-1</f>
        <v/>
      </c>
      <c r="G5" s="5" t="inlineStr">
        <is>
          <t>A / B / C</t>
        </is>
      </c>
      <c r="H5" s="4" t="inlineStr">
        <is>
          <t>本期营业收入 ÷ 上年同期营业收入 − 1；年度列为2024、2025年同比</t>
        </is>
      </c>
      <c r="I5" s="5" t="inlineStr">
        <is>
          <t>Q1、H1列应与招股书/公告书披露的68.49%、48.54%一致</t>
        </is>
      </c>
    </row>
    <row r="6">
      <c r="A6" s="5" t="inlineStr">
        <is>
          <t>主营业务收入同比增速</t>
        </is>
      </c>
      <c r="B6" s="52" t="inlineStr">
        <is>
          <t>%</t>
        </is>
      </c>
      <c r="C6" s="14">
        <f>'04_业务结构原始数据'!D7/'04_业务结构原始数据'!B7-1</f>
        <v/>
      </c>
      <c r="D6" s="14">
        <f>'04_业务结构原始数据'!F7/'04_业务结构原始数据'!D7-1</f>
        <v/>
      </c>
      <c r="E6" s="53" t="inlineStr">
        <is>
          <t>未披露</t>
        </is>
      </c>
      <c r="F6" s="53" t="inlineStr">
        <is>
          <t>未披露</t>
        </is>
      </c>
      <c r="G6" s="5" t="inlineStr">
        <is>
          <t>A</t>
        </is>
      </c>
      <c r="H6" s="4" t="inlineStr">
        <is>
          <t>表4-1主营业务收入合计的同比增速</t>
        </is>
      </c>
      <c r="I6" s="5" t="inlineStr">
        <is>
          <t>—</t>
        </is>
      </c>
    </row>
    <row r="7">
      <c r="A7" s="5" t="inlineStr">
        <is>
          <t>归母净利润同比增速</t>
        </is>
      </c>
      <c r="B7" s="52" t="inlineStr">
        <is>
          <t>%</t>
        </is>
      </c>
      <c r="C7" s="14">
        <f>'03_财务原始数据'!D31/'03_财务原始数据'!C31-1</f>
        <v/>
      </c>
      <c r="D7" s="14">
        <f>'03_财务原始数据'!E31/'03_财务原始数据'!D31-1</f>
        <v/>
      </c>
      <c r="E7" s="14">
        <f>'03_财务原始数据'!C72/'03_财务原始数据'!D72-1</f>
        <v/>
      </c>
      <c r="F7" s="53" t="inlineStr">
        <is>
          <t>不可比</t>
        </is>
      </c>
      <c r="G7" s="5" t="inlineStr">
        <is>
          <t>A / B / C</t>
        </is>
      </c>
      <c r="H7" s="4" t="inlineStr">
        <is>
          <t>H1列标记“不可比”：2025年1-6月归母净利润为−3,202.45万元（受34,906.55万元股份支付费用影响），基数为负，同比增速无经济意义，上市公告书亦以“-”列示</t>
        </is>
      </c>
      <c r="I7" s="5" t="inlineStr">
        <is>
          <t>—</t>
        </is>
      </c>
    </row>
    <row r="8">
      <c r="A8" s="54" t="inlineStr">
        <is>
          <t>扣非归母净利润同比增速</t>
        </is>
      </c>
      <c r="B8" s="55" t="inlineStr">
        <is>
          <t>%</t>
        </is>
      </c>
      <c r="C8" s="56">
        <f>'03_财务原始数据'!D32/'03_财务原始数据'!C32-1</f>
        <v/>
      </c>
      <c r="D8" s="56">
        <f>'03_财务原始数据'!E32/'03_财务原始数据'!D32-1</f>
        <v/>
      </c>
      <c r="E8" s="56">
        <f>'03_财务原始数据'!C73/'03_财务原始数据'!D73-1</f>
        <v/>
      </c>
      <c r="F8" s="56">
        <f>'03_财务原始数据'!C92/'03_财务原始数据'!D92-1</f>
        <v/>
      </c>
      <c r="G8" s="54" t="inlineStr">
        <is>
          <t>A / B / C</t>
        </is>
      </c>
      <c r="H8" s="57" t="inlineStr">
        <is>
          <t>扣非口径剔除了股份支付等非经常性项目，是本期最可比的盈利增速指标</t>
        </is>
      </c>
      <c r="I8" s="54" t="inlineStr">
        <is>
          <t>H1列应与公告书披露的−19.34%一致</t>
        </is>
      </c>
    </row>
    <row r="9">
      <c r="A9" s="5" t="inlineStr">
        <is>
          <t>经营活动现金流净额同比增速</t>
        </is>
      </c>
      <c r="B9" s="52" t="inlineStr">
        <is>
          <t>%</t>
        </is>
      </c>
      <c r="C9" s="14">
        <f>'03_财务原始数据'!D37/'03_财务原始数据'!C37-1</f>
        <v/>
      </c>
      <c r="D9" s="14">
        <f>'03_财务原始数据'!E37/'03_财务原始数据'!D37-1</f>
        <v/>
      </c>
      <c r="E9" s="14">
        <f>'03_财务原始数据'!C74/'03_财务原始数据'!D74-1</f>
        <v/>
      </c>
      <c r="F9" s="14">
        <f>'03_财务原始数据'!C97/'03_财务原始数据'!D97-1</f>
        <v/>
      </c>
      <c r="G9" s="5" t="inlineStr">
        <is>
          <t>A / B / C</t>
        </is>
      </c>
      <c r="H9" s="4" t="inlineStr">
        <is>
          <t>经营活动产生的现金流量净额同比</t>
        </is>
      </c>
      <c r="I9" s="5" t="inlineStr">
        <is>
          <t>H1列应与公告书披露的−32.53%一致</t>
        </is>
      </c>
    </row>
    <row r="10">
      <c r="A10" s="5" t="inlineStr">
        <is>
          <t>人形机器人收入同比增速</t>
        </is>
      </c>
      <c r="B10" s="52" t="inlineStr">
        <is>
          <t>%</t>
        </is>
      </c>
      <c r="C10" s="14">
        <f>'04_业务结构原始数据'!D4/'04_业务结构原始数据'!B4-1</f>
        <v/>
      </c>
      <c r="D10" s="14">
        <f>'04_业务结构原始数据'!F4/'04_业务结构原始数据'!D4-1</f>
        <v/>
      </c>
      <c r="E10" s="53" t="inlineStr">
        <is>
          <t>未披露</t>
        </is>
      </c>
      <c r="F10" s="53" t="inlineStr">
        <is>
          <t>未披露</t>
        </is>
      </c>
      <c r="G10" s="5" t="inlineStr">
        <is>
          <t>A</t>
        </is>
      </c>
      <c r="H10" s="4" t="inlineStr">
        <is>
          <t>表4-1人形机器人主营业务收入同比</t>
        </is>
      </c>
      <c r="I10" s="5" t="inlineStr">
        <is>
          <t>—</t>
        </is>
      </c>
    </row>
    <row r="11">
      <c r="A11" s="5" t="inlineStr">
        <is>
          <t>四足机器人收入同比增速</t>
        </is>
      </c>
      <c r="B11" s="52" t="inlineStr">
        <is>
          <t>%</t>
        </is>
      </c>
      <c r="C11" s="14">
        <f>'04_业务结构原始数据'!D3/'04_业务结构原始数据'!B3-1</f>
        <v/>
      </c>
      <c r="D11" s="14">
        <f>'04_业务结构原始数据'!F3/'04_业务结构原始数据'!D3-1</f>
        <v/>
      </c>
      <c r="E11" s="53" t="inlineStr">
        <is>
          <t>未披露</t>
        </is>
      </c>
      <c r="F11" s="53" t="inlineStr">
        <is>
          <t>未披露</t>
        </is>
      </c>
      <c r="G11" s="5" t="inlineStr">
        <is>
          <t>A</t>
        </is>
      </c>
      <c r="H11" s="4" t="inlineStr">
        <is>
          <t>表4-1四足机器人主营业务收入同比</t>
        </is>
      </c>
      <c r="I11" s="5" t="inlineStr">
        <is>
          <t>—</t>
        </is>
      </c>
    </row>
    <row r="12">
      <c r="A12" s="54" t="inlineStr">
        <is>
          <t>营业收入两年复合增长率（2023→2025，CAGR）</t>
        </is>
      </c>
      <c r="B12" s="55" t="inlineStr">
        <is>
          <t>%</t>
        </is>
      </c>
      <c r="C12" s="58" t="inlineStr">
        <is>
          <t>—</t>
        </is>
      </c>
      <c r="D12" s="56">
        <f>('03_财务原始数据'!E5/'03_财务原始数据'!C5)^(1/2)-1</f>
        <v/>
      </c>
      <c r="E12" s="58" t="inlineStr">
        <is>
          <t>—</t>
        </is>
      </c>
      <c r="F12" s="58" t="inlineStr">
        <is>
          <t>—</t>
        </is>
      </c>
      <c r="G12" s="54" t="inlineStr">
        <is>
          <t>A</t>
        </is>
      </c>
      <c r="H12" s="57" t="inlineStr">
        <is>
          <t>(2025年营业收入 ÷ 2023年营业收入)^(1/2) − 1</t>
        </is>
      </c>
      <c r="I12" s="54" t="inlineStr">
        <is>
          <t>科创属性指标之一，应与招股书披露的226.78%一致</t>
        </is>
      </c>
    </row>
    <row r="13">
      <c r="A13" s="5" t="inlineStr">
        <is>
          <t>主营业务收入两年CAGR（2023→2025）</t>
        </is>
      </c>
      <c r="B13" s="52" t="inlineStr">
        <is>
          <t>%</t>
        </is>
      </c>
      <c r="C13" s="53" t="inlineStr">
        <is>
          <t>—</t>
        </is>
      </c>
      <c r="D13" s="14">
        <f>('04_业务结构原始数据'!F7/'04_业务结构原始数据'!B7)^(1/2)-1</f>
        <v/>
      </c>
      <c r="E13" s="53" t="inlineStr">
        <is>
          <t>—</t>
        </is>
      </c>
      <c r="F13" s="53" t="inlineStr">
        <is>
          <t>—</t>
        </is>
      </c>
      <c r="G13" s="5" t="inlineStr">
        <is>
          <t>A</t>
        </is>
      </c>
      <c r="H13" s="4" t="inlineStr">
        <is>
          <t>(2025年主营收入 ÷ 2023年主营收入)^(1/2) − 1</t>
        </is>
      </c>
      <c r="I13" s="5" t="inlineStr">
        <is>
          <t>—</t>
        </is>
      </c>
    </row>
    <row r="14">
      <c r="A14" s="22" t="inlineStr">
        <is>
          <t>扣非归母净利润增速（2023年基期为亏损，两年CAGR不适用）</t>
        </is>
      </c>
      <c r="B14" s="59" t="inlineStr">
        <is>
          <t>%</t>
        </is>
      </c>
      <c r="C14" s="60">
        <f>IF('03_财务原始数据'!C32&gt;0,'03_财务原始数据'!D32/'03_财务原始数据'!C32-1,"N/M")</f>
        <v/>
      </c>
      <c r="D14" s="60">
        <f>IF('03_财务原始数据'!D32&gt;0,'03_财务原始数据'!E32/'03_财务原始数据'!D32-1,"N/M")</f>
        <v/>
      </c>
      <c r="E14" s="61" t="inlineStr">
        <is>
          <t>—</t>
        </is>
      </c>
      <c r="F14" s="61" t="inlineStr">
        <is>
          <t>—</t>
        </is>
      </c>
      <c r="G14" s="22" t="inlineStr">
        <is>
          <t>A</t>
        </is>
      </c>
      <c r="H14" s="62" t="inlineStr">
        <is>
          <t>2023年扣非归母净利润为−1,801.91万元（亏损），任何以2023年为基期的CAGR或增速均无增长解释力，且对负值比值开平方会返回 #VALUE!，故本行以 IF 守卫：基期&gt;0 才计算，否则显示“N/M”。D列为2024→2025年增速（基期7,847.65万元为正，可计算，约+652.78%）；C列为2023→2024年增速（N/M）。</t>
        </is>
      </c>
      <c r="I14" s="22" t="inlineStr">
        <is>
          <t>口径受限：论证成长性应引用营业收入CAGR（226.78%），不得引用扣非净利CAGR</t>
        </is>
      </c>
    </row>
    <row r="15" ht="26" customHeight="1">
      <c r="A15" s="9" t="inlineStr">
        <is>
          <t>重要口径提示：2026年1-3月数据来源为招股说明书（性质B，经会计师审阅）；2026年1-6月数据来源为上市公告书（性质C，未经审计）。两者不属于同一保证等级，纵向拼接时必须标注。公司已在上市公告书中明示“本次发行上市后，公司将不再另行披露2026年半年度报告”，故2026年上半年数据在本底稿资料截止日（2026-08-30）之前不存在经审计版本。</t>
        </is>
      </c>
    </row>
    <row r="17" ht="20" customHeight="1">
      <c r="A17" s="3" t="inlineStr">
        <is>
          <t>表7-2　盈利能力与费用结构</t>
        </is>
      </c>
    </row>
    <row r="18" ht="30" customHeight="1">
      <c r="A18" s="7" t="inlineStr">
        <is>
          <t>指标</t>
        </is>
      </c>
      <c r="B18" s="7" t="inlineStr">
        <is>
          <t>单位</t>
        </is>
      </c>
      <c r="C18" s="7" t="inlineStr">
        <is>
          <t>2023年度</t>
        </is>
      </c>
      <c r="D18" s="7" t="inlineStr">
        <is>
          <t>2024年度</t>
        </is>
      </c>
      <c r="E18" s="7" t="inlineStr">
        <is>
          <t>2025年度</t>
        </is>
      </c>
      <c r="F18" s="7" t="inlineStr">
        <is>
          <t>2026年1-3月</t>
        </is>
      </c>
      <c r="G18" s="7" t="inlineStr">
        <is>
          <t>2026年1-6月</t>
        </is>
      </c>
      <c r="H18" s="7" t="inlineStr">
        <is>
          <t>计算口径与公式说明</t>
        </is>
      </c>
      <c r="I18" s="7" t="inlineStr">
        <is>
          <t>勾稽校验</t>
        </is>
      </c>
    </row>
    <row r="19">
      <c r="A19" s="54" t="inlineStr">
        <is>
          <t>综合毛利率（测算）</t>
        </is>
      </c>
      <c r="B19" s="55" t="inlineStr">
        <is>
          <t>%</t>
        </is>
      </c>
      <c r="C19" s="56">
        <f>('03_财务原始数据'!C5-'03_财务原始数据'!C8)/'03_财务原始数据'!C5</f>
        <v/>
      </c>
      <c r="D19" s="56">
        <f>('03_财务原始数据'!D5-'03_财务原始数据'!D8)/'03_财务原始数据'!D5</f>
        <v/>
      </c>
      <c r="E19" s="56">
        <f>('03_财务原始数据'!E5-'03_财务原始数据'!E8)/'03_财务原始数据'!E5</f>
        <v/>
      </c>
      <c r="F19" s="58" t="inlineStr">
        <is>
          <t>未披露</t>
        </is>
      </c>
      <c r="G19" s="58" t="inlineStr">
        <is>
          <t>未披露</t>
        </is>
      </c>
      <c r="H19" s="57" t="inlineStr">
        <is>
          <t>A</t>
        </is>
      </c>
      <c r="I19" s="54" t="inlineStr">
        <is>
          <t>(营业收入 − 营业成本合计) ÷ 营业收入</t>
        </is>
      </c>
      <c r="J19" s="54" t="inlineStr">
        <is>
          <t>应与招股书披露的44.75%/57.22%/60.44%一致</t>
        </is>
      </c>
    </row>
    <row r="20">
      <c r="A20" s="5" t="inlineStr">
        <is>
          <t>综合毛利率（招股书披露）</t>
        </is>
      </c>
      <c r="B20" s="52" t="inlineStr">
        <is>
          <t>%</t>
        </is>
      </c>
      <c r="C20" s="14">
        <f>'03_财务原始数据'!C51</f>
        <v/>
      </c>
      <c r="D20" s="14">
        <f>'03_财务原始数据'!D51</f>
        <v/>
      </c>
      <c r="E20" s="14">
        <f>'03_财务原始数据'!E51</f>
        <v/>
      </c>
      <c r="F20" s="53" t="inlineStr">
        <is>
          <t>—</t>
        </is>
      </c>
      <c r="G20" s="53" t="inlineStr">
        <is>
          <t>—</t>
        </is>
      </c>
      <c r="H20" s="4" t="inlineStr">
        <is>
          <t>A</t>
        </is>
      </c>
      <c r="I20" s="5" t="inlineStr">
        <is>
          <t>直接引用表3-1披露值，与上一行互为校验</t>
        </is>
      </c>
      <c r="J20" s="5" t="inlineStr">
        <is>
          <t>差异应为0</t>
        </is>
      </c>
    </row>
    <row r="21">
      <c r="A21" s="5" t="inlineStr">
        <is>
          <t>主营业务毛利率（测算）</t>
        </is>
      </c>
      <c r="B21" s="52" t="inlineStr">
        <is>
          <t>%</t>
        </is>
      </c>
      <c r="C21" s="14">
        <f>'03_财务原始数据'!C11/'03_财务原始数据'!C6</f>
        <v/>
      </c>
      <c r="D21" s="14">
        <f>'03_财务原始数据'!D11/'03_财务原始数据'!D6</f>
        <v/>
      </c>
      <c r="E21" s="14">
        <f>'03_财务原始数据'!E11/'03_财务原始数据'!E6</f>
        <v/>
      </c>
      <c r="F21" s="53" t="inlineStr">
        <is>
          <t>未披露</t>
        </is>
      </c>
      <c r="G21" s="53" t="inlineStr">
        <is>
          <t>未披露</t>
        </is>
      </c>
      <c r="H21" s="4" t="inlineStr">
        <is>
          <t>A</t>
        </is>
      </c>
      <c r="I21" s="5" t="inlineStr">
        <is>
          <t>主营业务毛利 ÷ 主营业务收入</t>
        </is>
      </c>
      <c r="J21" s="5" t="inlineStr">
        <is>
          <t>应与披露的44.22%/56.74%/60.13%一致</t>
        </is>
      </c>
    </row>
    <row r="22">
      <c r="A22" s="5" t="inlineStr">
        <is>
          <t>营业利润率</t>
        </is>
      </c>
      <c r="B22" s="52" t="inlineStr">
        <is>
          <t>%</t>
        </is>
      </c>
      <c r="C22" s="14">
        <f>'03_财务原始数据'!C28/'03_财务原始数据'!C5</f>
        <v/>
      </c>
      <c r="D22" s="14">
        <f>'03_财务原始数据'!D28/'03_财务原始数据'!D5</f>
        <v/>
      </c>
      <c r="E22" s="14">
        <f>'03_财务原始数据'!E28/'03_财务原始数据'!E5</f>
        <v/>
      </c>
      <c r="F22" s="14">
        <f>'03_财务原始数据'!C69/'03_财务原始数据'!C68</f>
        <v/>
      </c>
      <c r="G22" s="14">
        <f>'03_财务原始数据'!C89/'03_财务原始数据'!C88</f>
        <v/>
      </c>
      <c r="H22" s="4" t="inlineStr">
        <is>
          <t>A / B / C</t>
        </is>
      </c>
      <c r="I22" s="5" t="inlineStr">
        <is>
          <t>营业利润 ÷ 营业收入</t>
        </is>
      </c>
      <c r="J22" s="5" t="inlineStr">
        <is>
          <t>—</t>
        </is>
      </c>
    </row>
    <row r="23">
      <c r="A23" s="5" t="inlineStr">
        <is>
          <t>归母净利率</t>
        </is>
      </c>
      <c r="B23" s="52" t="inlineStr">
        <is>
          <t>%</t>
        </is>
      </c>
      <c r="C23" s="14">
        <f>'03_财务原始数据'!C31/'03_财务原始数据'!C5</f>
        <v/>
      </c>
      <c r="D23" s="14">
        <f>'03_财务原始数据'!D31/'03_财务原始数据'!D5</f>
        <v/>
      </c>
      <c r="E23" s="14">
        <f>'03_财务原始数据'!E31/'03_财务原始数据'!E5</f>
        <v/>
      </c>
      <c r="F23" s="14">
        <f>'03_财务原始数据'!C72/'03_财务原始数据'!C68</f>
        <v/>
      </c>
      <c r="G23" s="14">
        <f>'03_财务原始数据'!C91/'03_财务原始数据'!C88</f>
        <v/>
      </c>
      <c r="H23" s="4" t="inlineStr">
        <is>
          <t>A / B / C</t>
        </is>
      </c>
      <c r="I23" s="5" t="inlineStr">
        <is>
          <t>归属于母公司所有者的净利润 ÷ 营业收入</t>
        </is>
      </c>
      <c r="J23" s="5" t="inlineStr">
        <is>
          <t>—</t>
        </is>
      </c>
    </row>
    <row r="24">
      <c r="A24" s="54" t="inlineStr">
        <is>
          <t>扣非归母净利率</t>
        </is>
      </c>
      <c r="B24" s="55" t="inlineStr">
        <is>
          <t>%</t>
        </is>
      </c>
      <c r="C24" s="56">
        <f>'03_财务原始数据'!C32/'03_财务原始数据'!C5</f>
        <v/>
      </c>
      <c r="D24" s="56">
        <f>'03_财务原始数据'!D32/'03_财务原始数据'!D5</f>
        <v/>
      </c>
      <c r="E24" s="56">
        <f>'03_财务原始数据'!E32/'03_财务原始数据'!E5</f>
        <v/>
      </c>
      <c r="F24" s="56">
        <f>'03_财务原始数据'!C73/'03_财务原始数据'!C68</f>
        <v/>
      </c>
      <c r="G24" s="56">
        <f>'03_财务原始数据'!C92/'03_财务原始数据'!C88</f>
        <v/>
      </c>
      <c r="H24" s="57" t="inlineStr">
        <is>
          <t>A / B / C</t>
        </is>
      </c>
      <c r="I24" s="54" t="inlineStr">
        <is>
          <t>扣非后归母净利润 ÷ 营业收入；剔除股份支付等一次性项目后的真实盈利水平</t>
        </is>
      </c>
      <c r="J24" s="54" t="inlineStr">
        <is>
          <t>本行是评估盈利质量的核心指标</t>
        </is>
      </c>
    </row>
    <row r="25">
      <c r="A25" s="5" t="inlineStr">
        <is>
          <t>销售费用率</t>
        </is>
      </c>
      <c r="B25" s="52" t="inlineStr">
        <is>
          <t>%</t>
        </is>
      </c>
      <c r="C25" s="14">
        <f>'03_财务原始数据'!C13/'03_财务原始数据'!C5</f>
        <v/>
      </c>
      <c r="D25" s="14">
        <f>'03_财务原始数据'!D13/'03_财务原始数据'!D5</f>
        <v/>
      </c>
      <c r="E25" s="14">
        <f>'03_财务原始数据'!E13/'03_财务原始数据'!E5</f>
        <v/>
      </c>
      <c r="F25" s="53" t="inlineStr">
        <is>
          <t>未披露</t>
        </is>
      </c>
      <c r="G25" s="53" t="inlineStr">
        <is>
          <t>未披露</t>
        </is>
      </c>
      <c r="H25" s="4" t="inlineStr">
        <is>
          <t>A</t>
        </is>
      </c>
      <c r="I25" s="5" t="inlineStr">
        <is>
          <t>销售费用 ÷ 营业收入</t>
        </is>
      </c>
      <c r="J25" s="5" t="inlineStr">
        <is>
          <t>—</t>
        </is>
      </c>
    </row>
    <row r="26">
      <c r="A26" s="5" t="inlineStr">
        <is>
          <t>管理费用率</t>
        </is>
      </c>
      <c r="B26" s="52" t="inlineStr">
        <is>
          <t>%</t>
        </is>
      </c>
      <c r="C26" s="14">
        <f>'03_财务原始数据'!C14/'03_财务原始数据'!C5</f>
        <v/>
      </c>
      <c r="D26" s="14">
        <f>'03_财务原始数据'!D14/'03_财务原始数据'!D5</f>
        <v/>
      </c>
      <c r="E26" s="14">
        <f>'03_财务原始数据'!E14/'03_财务原始数据'!E5</f>
        <v/>
      </c>
      <c r="F26" s="53" t="inlineStr">
        <is>
          <t>未披露</t>
        </is>
      </c>
      <c r="G26" s="53" t="inlineStr">
        <is>
          <t>未披露</t>
        </is>
      </c>
      <c r="H26" s="4" t="inlineStr">
        <is>
          <t>A</t>
        </is>
      </c>
      <c r="I26" s="5" t="inlineStr">
        <is>
          <t>管理费用 ÷ 营业收入（2025年含股份支付费用34,906.55万元）</t>
        </is>
      </c>
      <c r="J26" s="5" t="inlineStr">
        <is>
          <t>—</t>
        </is>
      </c>
    </row>
    <row r="27">
      <c r="A27" s="63" t="inlineStr">
        <is>
          <t>管理费用率（剔除股份支付费用）</t>
        </is>
      </c>
      <c r="B27" s="64" t="inlineStr">
        <is>
          <t>%</t>
        </is>
      </c>
      <c r="C27" s="65">
        <f>'03_财务原始数据'!C14/'03_财务原始数据'!C5</f>
        <v/>
      </c>
      <c r="D27" s="65">
        <f>'03_财务原始数据'!D14/'03_财务原始数据'!D5</f>
        <v/>
      </c>
      <c r="E27" s="65">
        <f>('03_财务原始数据'!E14-'03_财务原始数据'!E34)/'03_财务原始数据'!E5</f>
        <v/>
      </c>
      <c r="F27" s="66" t="inlineStr">
        <is>
          <t>未披露</t>
        </is>
      </c>
      <c r="G27" s="66" t="inlineStr">
        <is>
          <t>未披露</t>
        </is>
      </c>
      <c r="H27" s="67" t="inlineStr">
        <is>
          <t>A + E</t>
        </is>
      </c>
      <c r="I27" s="63" t="inlineStr">
        <is>
          <t>2025年 = (管理费用 − 股份支付费用) ÷ 营业收入。股份支付为2025年6月上海宇翼增资一次性确认，全额计入管理费用，无现金流出，属非经常性损益；2023、2024年无该项，公式退化为普通管理费用率</t>
        </is>
      </c>
      <c r="J27" s="63" t="inlineStr">
        <is>
          <t>剔除后2025年管理费用率约2.97%，低于2024年的6.37%，说明费用控制并未恶化</t>
        </is>
      </c>
    </row>
    <row r="28">
      <c r="A28" s="5" t="inlineStr">
        <is>
          <t>研发费用率</t>
        </is>
      </c>
      <c r="B28" s="52" t="inlineStr">
        <is>
          <t>%</t>
        </is>
      </c>
      <c r="C28" s="14">
        <f>'03_财务原始数据'!C15/'03_财务原始数据'!C5</f>
        <v/>
      </c>
      <c r="D28" s="14">
        <f>'03_财务原始数据'!D15/'03_财务原始数据'!D5</f>
        <v/>
      </c>
      <c r="E28" s="14">
        <f>'03_财务原始数据'!E15/'03_财务原始数据'!E5</f>
        <v/>
      </c>
      <c r="F28" s="53" t="inlineStr">
        <is>
          <t>未披露</t>
        </is>
      </c>
      <c r="G28" s="53" t="inlineStr">
        <is>
          <t>未披露</t>
        </is>
      </c>
      <c r="H28" s="4" t="inlineStr">
        <is>
          <t>A</t>
        </is>
      </c>
      <c r="I28" s="5" t="inlineStr">
        <is>
          <t>研发费用 ÷ 营业收入</t>
        </is>
      </c>
      <c r="J28" s="5" t="inlineStr">
        <is>
          <t>应与披露的31.39%/17.83%/8.53%一致</t>
        </is>
      </c>
    </row>
    <row r="29">
      <c r="A29" s="5" t="inlineStr">
        <is>
          <t>财务费用率</t>
        </is>
      </c>
      <c r="B29" s="52" t="inlineStr">
        <is>
          <t>%</t>
        </is>
      </c>
      <c r="C29" s="14">
        <f>'03_财务原始数据'!C16/'03_财务原始数据'!C5</f>
        <v/>
      </c>
      <c r="D29" s="14">
        <f>'03_财务原始数据'!D16/'03_财务原始数据'!D5</f>
        <v/>
      </c>
      <c r="E29" s="14">
        <f>'03_财务原始数据'!E16/'03_财务原始数据'!E5</f>
        <v/>
      </c>
      <c r="F29" s="53" t="inlineStr">
        <is>
          <t>未披露</t>
        </is>
      </c>
      <c r="G29" s="53" t="inlineStr">
        <is>
          <t>未披露</t>
        </is>
      </c>
      <c r="H29" s="4" t="inlineStr">
        <is>
          <t>A</t>
        </is>
      </c>
      <c r="I29" s="5" t="inlineStr">
        <is>
          <t>财务费用 ÷ 营业收入；2023—2024年为负数（利息收入大于支出），2025年转正</t>
        </is>
      </c>
      <c r="J29" s="5" t="inlineStr">
        <is>
          <t>—</t>
        </is>
      </c>
    </row>
    <row r="30">
      <c r="A30" s="5" t="inlineStr">
        <is>
          <t>期间费用率合计</t>
        </is>
      </c>
      <c r="B30" s="52" t="inlineStr">
        <is>
          <t>%</t>
        </is>
      </c>
      <c r="C30" s="14">
        <f>'03_财务原始数据'!C17/'03_财务原始数据'!C5</f>
        <v/>
      </c>
      <c r="D30" s="14">
        <f>'03_财务原始数据'!D17/'03_财务原始数据'!D5</f>
        <v/>
      </c>
      <c r="E30" s="14">
        <f>'03_财务原始数据'!E17/'03_财务原始数据'!E5</f>
        <v/>
      </c>
      <c r="F30" s="53" t="inlineStr">
        <is>
          <t>未披露</t>
        </is>
      </c>
      <c r="G30" s="53" t="inlineStr">
        <is>
          <t>未披露</t>
        </is>
      </c>
      <c r="H30" s="4" t="inlineStr">
        <is>
          <t>A</t>
        </is>
      </c>
      <c r="I30" s="5" t="inlineStr">
        <is>
          <t>期间费用合计 ÷ 营业收入</t>
        </is>
      </c>
      <c r="J30" s="5" t="inlineStr">
        <is>
          <t>—</t>
        </is>
      </c>
    </row>
    <row r="31">
      <c r="A31" s="5" t="inlineStr">
        <is>
          <t>加权平均净资产收益率（披露）</t>
        </is>
      </c>
      <c r="B31" s="52" t="inlineStr">
        <is>
          <t>%</t>
        </is>
      </c>
      <c r="C31" s="14">
        <f>'03_财务原始数据'!C52</f>
        <v/>
      </c>
      <c r="D31" s="14">
        <f>'03_财务原始数据'!D52</f>
        <v/>
      </c>
      <c r="E31" s="14">
        <f>'03_财务原始数据'!E52</f>
        <v/>
      </c>
      <c r="F31" s="53" t="inlineStr">
        <is>
          <t>未披露</t>
        </is>
      </c>
      <c r="G31" s="14">
        <f>'03_财务原始数据'!C95</f>
        <v/>
      </c>
      <c r="H31" s="4" t="inlineStr">
        <is>
          <t>A / C</t>
        </is>
      </c>
      <c r="I31" s="5" t="inlineStr">
        <is>
          <t>直接引用披露值。2026H1为9.99%（性质C，未经审计）</t>
        </is>
      </c>
      <c r="J31" s="5" t="inlineStr">
        <is>
          <t>—</t>
        </is>
      </c>
    </row>
    <row r="32">
      <c r="A32" s="54" t="inlineStr">
        <is>
          <t>扣非后加权平均净资产收益率（披露）</t>
        </is>
      </c>
      <c r="B32" s="55" t="inlineStr">
        <is>
          <t>%</t>
        </is>
      </c>
      <c r="C32" s="56">
        <f>'03_财务原始数据'!C53</f>
        <v/>
      </c>
      <c r="D32" s="56">
        <f>'03_财务原始数据'!D53</f>
        <v/>
      </c>
      <c r="E32" s="56">
        <f>'03_财务原始数据'!E53</f>
        <v/>
      </c>
      <c r="F32" s="58" t="inlineStr">
        <is>
          <t>未披露</t>
        </is>
      </c>
      <c r="G32" s="56">
        <f>'03_财务原始数据'!C96</f>
        <v/>
      </c>
      <c r="H32" s="57" t="inlineStr">
        <is>
          <t>A / C</t>
        </is>
      </c>
      <c r="I32" s="54" t="inlineStr">
        <is>
          <t>2025年扣非ROE 28.70%显著高于扣非前13.52%，差额即股份支付费用的影响</t>
        </is>
      </c>
      <c r="J32" s="54" t="inlineStr">
        <is>
          <t>2026H1为8.90%，同比下降12.12个百分点</t>
        </is>
      </c>
    </row>
    <row r="33">
      <c r="A33" s="5" t="inlineStr">
        <is>
          <t>期末净资产收益率（简单口径，测算）</t>
        </is>
      </c>
      <c r="B33" s="52" t="inlineStr">
        <is>
          <t>%</t>
        </is>
      </c>
      <c r="C33" s="14">
        <f>'03_财务原始数据'!C31/'03_财务原始数据'!C42</f>
        <v/>
      </c>
      <c r="D33" s="14">
        <f>'03_财务原始数据'!D31/'03_财务原始数据'!D42</f>
        <v/>
      </c>
      <c r="E33" s="14">
        <f>'03_财务原始数据'!E31/'03_财务原始数据'!E42</f>
        <v/>
      </c>
      <c r="F33" s="14">
        <f>'03_财务原始数据'!C72/'03_财务原始数据'!C79</f>
        <v/>
      </c>
      <c r="G33" s="14">
        <f>'03_财务原始数据'!C91/'03_财务原始数据'!C105</f>
        <v/>
      </c>
      <c r="H33" s="4" t="inlineStr">
        <is>
          <t>A / B / C</t>
        </is>
      </c>
      <c r="I33" s="5" t="inlineStr">
        <is>
          <t>归母净利润 ÷ 期末归母权益。与加权平均ROE口径不同（未做时间加权），仅作横向比较参考</t>
        </is>
      </c>
      <c r="J33" s="5" t="inlineStr">
        <is>
          <t>口径不同，不应与披露的加权ROE直接比较</t>
        </is>
      </c>
    </row>
    <row r="34">
      <c r="A34" s="22" t="inlineStr">
        <is>
          <t>有效所得税率</t>
        </is>
      </c>
      <c r="B34" s="59" t="inlineStr">
        <is>
          <t>%</t>
        </is>
      </c>
      <c r="C34" s="60">
        <f>IF('03_财务原始数据'!C29&gt;0,('03_财务原始数据'!C29-'03_财务原始数据'!C30)/'03_财务原始数据'!C29,"不适用")</f>
        <v/>
      </c>
      <c r="D34" s="60">
        <f>IF('03_财务原始数据'!D29&gt;0,('03_财务原始数据'!D29-'03_财务原始数据'!D30)/'03_财务原始数据'!D29,"不适用")</f>
        <v/>
      </c>
      <c r="E34" s="60">
        <f>IF('03_财务原始数据'!E29&gt;0,('03_财务原始数据'!E29-'03_财务原始数据'!E30)/'03_财务原始数据'!E29,"不适用")</f>
        <v/>
      </c>
      <c r="F34" s="60">
        <f>IF('03_财务原始数据'!C70&gt;0,('03_财务原始数据'!C70-'03_财务原始数据'!C72)/'03_财务原始数据'!C70,"不适用")</f>
        <v/>
      </c>
      <c r="G34" s="60">
        <f>IF('03_财务原始数据'!C90&gt;0,('03_财务原始数据'!C90-'03_财务原始数据'!C91)/'03_财务原始数据'!C90,"不适用")</f>
        <v/>
      </c>
      <c r="H34" s="62" t="inlineStr">
        <is>
          <t>A / B / C</t>
        </is>
      </c>
      <c r="I34" s="22" t="inlineStr">
        <is>
          <t>(利润总额 − 净利润) ÷ 利润总额。2023年利润总额为负，公式返回“不适用”；2026Q1净利润高于利润总额（所得税费用为负），结果为负值，属税收优惠/递延所得税影响</t>
        </is>
      </c>
      <c r="J34" s="22" t="inlineStr">
        <is>
          <t>2024年约5.11%、2025年约24.49%，差异主要来自股份支付费用的税前扣除限制及优惠税率适用期间</t>
        </is>
      </c>
    </row>
    <row r="35">
      <c r="A35" s="54" t="inlineStr">
        <is>
          <t>非经常性损益净额（归母 − 扣非）</t>
        </is>
      </c>
      <c r="B35" s="55" t="inlineStr">
        <is>
          <t>万元</t>
        </is>
      </c>
      <c r="C35" s="68">
        <f>'03_财务原始数据'!C31-'03_财务原始数据'!C32</f>
        <v/>
      </c>
      <c r="D35" s="68">
        <f>'03_财务原始数据'!D31-'03_财务原始数据'!D32</f>
        <v/>
      </c>
      <c r="E35" s="68">
        <f>'03_财务原始数据'!E31-'03_财务原始数据'!E32</f>
        <v/>
      </c>
      <c r="F35" s="68">
        <f>'03_财务原始数据'!C72-'03_财务原始数据'!C73</f>
        <v/>
      </c>
      <c r="G35" s="68">
        <f>'03_财务原始数据'!C91-'03_财务原始数据'!C92</f>
        <v/>
      </c>
      <c r="H35" s="57" t="inlineStr">
        <is>
          <t>A / B / C</t>
        </is>
      </c>
      <c r="I35" s="54" t="inlineStr">
        <is>
          <t>归母净利润减去扣非归母净利润。2025年为−31,254.23万元（负数），即非经常性项目净损失，主因是34,906.55万元股份支付费用</t>
        </is>
      </c>
      <c r="J35" s="54" t="inlineStr">
        <is>
          <t>2026Q1测算值应精确等于披露的非经常性损益净额976.02万元，构成闭环校验</t>
        </is>
      </c>
    </row>
    <row r="36">
      <c r="A36" s="5" t="inlineStr">
        <is>
          <t>披露的非经常性损益净额（校验用）</t>
        </is>
      </c>
      <c r="B36" s="52" t="inlineStr">
        <is>
          <t>万元</t>
        </is>
      </c>
      <c r="C36" s="52" t="inlineStr">
        <is>
          <t>未披露</t>
        </is>
      </c>
      <c r="D36" s="52" t="inlineStr">
        <is>
          <t>未披露</t>
        </is>
      </c>
      <c r="E36" s="52" t="inlineStr">
        <is>
          <t>未披露</t>
        </is>
      </c>
      <c r="F36" s="12">
        <f>'03_财务原始数据'!C80</f>
        <v/>
      </c>
      <c r="G36" s="52" t="inlineStr">
        <is>
          <t>未披露</t>
        </is>
      </c>
      <c r="H36" s="4" t="inlineStr">
        <is>
          <t>A / B</t>
        </is>
      </c>
      <c r="I36" s="5" t="inlineStr">
        <is>
          <t>表3-2直接披露值，与上一行2026Q1测算值比对</t>
        </is>
      </c>
      <c r="J36" s="5" t="inlineStr">
        <is>
          <t>两值必须相等，否则说明归母/扣非取数有误</t>
        </is>
      </c>
    </row>
    <row r="38" ht="20" customHeight="1">
      <c r="A38" s="3" t="inlineStr">
        <is>
          <t>表7-3　分产品毛利率与收入结构（依据表4-1收入、表4-2成本用公式测算）</t>
        </is>
      </c>
    </row>
    <row r="39" ht="30" customHeight="1">
      <c r="A39" s="7" t="inlineStr">
        <is>
          <t>产品分类</t>
        </is>
      </c>
      <c r="B39" s="7" t="inlineStr">
        <is>
          <t>2023毛利率</t>
        </is>
      </c>
      <c r="C39" s="7" t="inlineStr">
        <is>
          <t>2024毛利率</t>
        </is>
      </c>
      <c r="D39" s="7" t="inlineStr">
        <is>
          <t>2025毛利率</t>
        </is>
      </c>
      <c r="E39" s="7" t="inlineStr">
        <is>
          <t>2025收入占比</t>
        </is>
      </c>
      <c r="F39" s="7" t="inlineStr">
        <is>
          <t>2025毛利贡献占比</t>
        </is>
      </c>
      <c r="G39" s="7" t="inlineStr">
        <is>
          <t>毛利率三年变动(百分点)</t>
        </is>
      </c>
      <c r="H39" s="7" t="inlineStr">
        <is>
          <t>计算口径与公式说明</t>
        </is>
      </c>
      <c r="I39" s="7" t="inlineStr">
        <is>
          <t>勾稽校验</t>
        </is>
      </c>
    </row>
    <row r="40">
      <c r="A40" s="5" t="inlineStr">
        <is>
          <t>四足机器人</t>
        </is>
      </c>
      <c r="B40" s="14">
        <f>('04_业务结构原始数据'!B3-'04_业务结构原始数据'!B11)/'04_业务结构原始数据'!B3</f>
        <v/>
      </c>
      <c r="C40" s="14">
        <f>('04_业务结构原始数据'!D3-'04_业务结构原始数据'!D11)/'04_业务结构原始数据'!D3</f>
        <v/>
      </c>
      <c r="D40" s="14">
        <f>('04_业务结构原始数据'!F3-'04_业务结构原始数据'!F11)/'04_业务结构原始数据'!F3</f>
        <v/>
      </c>
      <c r="E40" s="14">
        <f>'04_业务结构原始数据'!F3/'04_业务结构原始数据'!F7</f>
        <v/>
      </c>
      <c r="F40" s="14">
        <f>('04_业务结构原始数据'!F3-'04_业务结构原始数据'!F11)/('04_业务结构原始数据'!F7-'04_业务结构原始数据'!F11-'04_业务结构原始数据'!F12-'04_业务结构原始数据'!F13-'04_业务结构原始数据'!F14)</f>
        <v/>
      </c>
      <c r="G40" s="12">
        <f>(('04_业务结构原始数据'!F3-'04_业务结构原始数据'!F11)/'04_业务结构原始数据'!F3-('04_业务结构原始数据'!B3-'04_业务结构原始数据'!B11)/'04_业务结构原始数据'!B3)*100</f>
        <v/>
      </c>
      <c r="H40" s="4" t="inlineStr">
        <is>
          <t>毛利率 = (该产品主营收入 − 该产品主营成本) ÷ 该产品主营收入；毛利贡献占比 = 该产品毛利 ÷ 主营业务毛利合计</t>
        </is>
      </c>
      <c r="I40" s="5" t="inlineStr">
        <is>
          <t>机器人组件行应与招股书直接披露的48.76%/56.94%/59.36%一致</t>
        </is>
      </c>
    </row>
    <row r="41">
      <c r="A41" s="54" t="inlineStr">
        <is>
          <t>人形机器人</t>
        </is>
      </c>
      <c r="B41" s="56">
        <f>('04_业务结构原始数据'!B4-'04_业务结构原始数据'!B12)/'04_业务结构原始数据'!B4</f>
        <v/>
      </c>
      <c r="C41" s="56">
        <f>('04_业务结构原始数据'!D4-'04_业务结构原始数据'!D12)/'04_业务结构原始数据'!D4</f>
        <v/>
      </c>
      <c r="D41" s="56">
        <f>('04_业务结构原始数据'!F4-'04_业务结构原始数据'!F12)/'04_业务结构原始数据'!F4</f>
        <v/>
      </c>
      <c r="E41" s="56">
        <f>'04_业务结构原始数据'!F4/'04_业务结构原始数据'!F7</f>
        <v/>
      </c>
      <c r="F41" s="56">
        <f>('04_业务结构原始数据'!F4-'04_业务结构原始数据'!F12)/('04_业务结构原始数据'!F7-'04_业务结构原始数据'!F11-'04_业务结构原始数据'!F12-'04_业务结构原始数据'!F13-'04_业务结构原始数据'!F14)</f>
        <v/>
      </c>
      <c r="G41" s="68">
        <f>(('04_业务结构原始数据'!F4-'04_业务结构原始数据'!F12)/'04_业务结构原始数据'!F4-('04_业务结构原始数据'!B4-'04_业务结构原始数据'!B12)/'04_业务结构原始数据'!B4)*100</f>
        <v/>
      </c>
      <c r="H41" s="57" t="inlineStr">
        <is>
          <t>毛利率 = (该产品主营收入 − 该产品主营成本) ÷ 该产品主营收入；毛利贡献占比 = 该产品毛利 ÷ 主营业务毛利合计</t>
        </is>
      </c>
      <c r="I41" s="54" t="inlineStr">
        <is>
          <t>机器人组件行应与招股书直接披露的48.76%/56.94%/59.36%一致</t>
        </is>
      </c>
    </row>
    <row r="42">
      <c r="A42" s="5" t="inlineStr">
        <is>
          <t>机器人组件</t>
        </is>
      </c>
      <c r="B42" s="14">
        <f>('04_业务结构原始数据'!B5-'04_业务结构原始数据'!B13)/'04_业务结构原始数据'!B5</f>
        <v/>
      </c>
      <c r="C42" s="14">
        <f>('04_业务结构原始数据'!D5-'04_业务结构原始数据'!D13)/'04_业务结构原始数据'!D5</f>
        <v/>
      </c>
      <c r="D42" s="14">
        <f>('04_业务结构原始数据'!F5-'04_业务结构原始数据'!F13)/'04_业务结构原始数据'!F5</f>
        <v/>
      </c>
      <c r="E42" s="14">
        <f>'04_业务结构原始数据'!F5/'04_业务结构原始数据'!F7</f>
        <v/>
      </c>
      <c r="F42" s="14">
        <f>('04_业务结构原始数据'!F5-'04_业务结构原始数据'!F13)/('04_业务结构原始数据'!F7-'04_业务结构原始数据'!F11-'04_业务结构原始数据'!F12-'04_业务结构原始数据'!F13-'04_业务结构原始数据'!F14)</f>
        <v/>
      </c>
      <c r="G42" s="12">
        <f>(('04_业务结构原始数据'!F5-'04_业务结构原始数据'!F13)/'04_业务结构原始数据'!F5-('04_业务结构原始数据'!B5-'04_业务结构原始数据'!B13)/'04_业务结构原始数据'!B5)*100</f>
        <v/>
      </c>
      <c r="H42" s="4" t="inlineStr">
        <is>
          <t>毛利率 = (该产品主营收入 − 该产品主营成本) ÷ 该产品主营收入；毛利贡献占比 = 该产品毛利 ÷ 主营业务毛利合计</t>
        </is>
      </c>
      <c r="I42" s="5" t="inlineStr">
        <is>
          <t>机器人组件行应与招股书直接披露的48.76%/56.94%/59.36%一致</t>
        </is>
      </c>
    </row>
    <row r="43">
      <c r="A43" s="5" t="inlineStr">
        <is>
          <t>其他</t>
        </is>
      </c>
      <c r="B43" s="14">
        <f>('04_业务结构原始数据'!B6-'04_业务结构原始数据'!B14)/'04_业务结构原始数据'!B6</f>
        <v/>
      </c>
      <c r="C43" s="14">
        <f>('04_业务结构原始数据'!D6-'04_业务结构原始数据'!D14)/'04_业务结构原始数据'!D6</f>
        <v/>
      </c>
      <c r="D43" s="14">
        <f>('04_业务结构原始数据'!F6-'04_业务结构原始数据'!F14)/'04_业务结构原始数据'!F6</f>
        <v/>
      </c>
      <c r="E43" s="14">
        <f>'04_业务结构原始数据'!F6/'04_业务结构原始数据'!F7</f>
        <v/>
      </c>
      <c r="F43" s="14">
        <f>('04_业务结构原始数据'!F6-'04_业务结构原始数据'!F14)/('04_业务结构原始数据'!F7-'04_业务结构原始数据'!F11-'04_业务结构原始数据'!F12-'04_业务结构原始数据'!F13-'04_业务结构原始数据'!F14)</f>
        <v/>
      </c>
      <c r="G43" s="12">
        <f>(('04_业务结构原始数据'!F6-'04_业务结构原始数据'!F14)/'04_业务结构原始数据'!F6-('04_业务结构原始数据'!B6-'04_业务结构原始数据'!B14)/'04_业务结构原始数据'!B6)*100</f>
        <v/>
      </c>
      <c r="H43" s="4" t="inlineStr">
        <is>
          <t>毛利率 = (该产品主营收入 − 该产品主营成本) ÷ 该产品主营收入；毛利贡献占比 = 该产品毛利 ÷ 主营业务毛利合计</t>
        </is>
      </c>
      <c r="I43" s="5" t="inlineStr">
        <is>
          <t>机器人组件行应与招股书直接披露的48.76%/56.94%/59.36%一致</t>
        </is>
      </c>
    </row>
    <row r="44">
      <c r="A44" s="25" t="inlineStr">
        <is>
          <t>主营业务合计</t>
        </is>
      </c>
      <c r="B44" s="27">
        <f>('04_业务结构原始数据'!B7-'04_业务结构原始数据'!B11-'04_业务结构原始数据'!B12-'04_业务结构原始数据'!B13-'04_业务结构原始数据'!B14)/'04_业务结构原始数据'!B7</f>
        <v/>
      </c>
      <c r="C44" s="27">
        <f>('04_业务结构原始数据'!D7-'04_业务结构原始数据'!D11-'04_业务结构原始数据'!D12-'04_业务结构原始数据'!D13-'04_业务结构原始数据'!D14)/'04_业务结构原始数据'!D7</f>
        <v/>
      </c>
      <c r="D44" s="27">
        <f>('04_业务结构原始数据'!F7-'04_业务结构原始数据'!F11-'04_业务结构原始数据'!F12-'04_业务结构原始数据'!F13-'04_业务结构原始数据'!F14)/'04_业务结构原始数据'!F7</f>
        <v/>
      </c>
      <c r="E44" s="27" t="n">
        <v>1</v>
      </c>
      <c r="F44" s="27" t="n">
        <v>1</v>
      </c>
      <c r="G44" s="69" t="inlineStr">
        <is>
          <t>—</t>
        </is>
      </c>
      <c r="H44" s="70" t="inlineStr">
        <is>
          <t>合计毛利率 = (主营收入合计 − 主营成本合计) ÷ 主营收入合计</t>
        </is>
      </c>
      <c r="I44" s="25" t="inlineStr">
        <is>
          <t>应与表7-2“主营业务毛利率（测算）”一致</t>
        </is>
      </c>
    </row>
    <row r="45" ht="39" customHeight="1">
      <c r="A45" s="9" t="inlineStr">
        <is>
          <t>结构性发现：人形机器人2023年毛利率高达87.67%，但当年仅销售5台（收入296.71万元），属小批量样机性质，不具代表性；随着2024年放量至412台、2025年放量至5,215台，毛利率回落至69.26%、63.18%，呈现典型的“新品溢价→规模定价”曲线。同期四足机器人毛利率由43.71%提升至51.65%、56.72%（规模效应与成本下探），两者走势相反，说明公司整体毛利率上行（44.75%→60.44%）主要由高毛利的人形机器人收入占比提升（1.88%→51.78%）驱动，而非单一产品盈利能力的普遍改善。</t>
        </is>
      </c>
    </row>
    <row r="47" ht="20" customHeight="1">
      <c r="A47" s="3" t="inlineStr">
        <is>
          <t>表7-4　销售量与平均单价对收入变动的贡献拆解（量价分析）</t>
        </is>
      </c>
    </row>
    <row r="48" ht="30" customHeight="1">
      <c r="A48" s="7" t="inlineStr">
        <is>
          <t>拆解项</t>
        </is>
      </c>
      <c r="B48" s="7" t="inlineStr">
        <is>
          <t>单位</t>
        </is>
      </c>
      <c r="C48" s="7" t="inlineStr">
        <is>
          <t>四足2024</t>
        </is>
      </c>
      <c r="D48" s="7" t="inlineStr">
        <is>
          <t>四足2025</t>
        </is>
      </c>
      <c r="E48" s="7" t="inlineStr">
        <is>
          <t>人形2024</t>
        </is>
      </c>
      <c r="F48" s="7" t="inlineStr">
        <is>
          <t>人形2025</t>
        </is>
      </c>
      <c r="G48" s="7" t="inlineStr">
        <is>
          <t>输入项性质</t>
        </is>
      </c>
      <c r="H48" s="7" t="inlineStr">
        <is>
          <t>计算口径与公式说明</t>
        </is>
      </c>
      <c r="I48" s="7" t="inlineStr">
        <is>
          <t>勾稽校验</t>
        </is>
      </c>
    </row>
    <row r="49">
      <c r="A49" s="5" t="inlineStr">
        <is>
          <t>收入变动总额</t>
        </is>
      </c>
      <c r="B49" s="52" t="inlineStr">
        <is>
          <t>万元</t>
        </is>
      </c>
      <c r="C49" s="12">
        <f>'04_业务结构原始数据'!D21-'04_业务结构原始数据'!C21</f>
        <v/>
      </c>
      <c r="D49" s="12">
        <f>'04_业务结构原始数据'!F21-'04_业务结构原始数据'!D21</f>
        <v/>
      </c>
      <c r="E49" s="12">
        <f>'04_业务结构原始数据'!D24-'04_业务结构原始数据'!C24</f>
        <v/>
      </c>
      <c r="F49" s="12">
        <f>'04_业务结构原始数据'!F24-'04_业务结构原始数据'!D24</f>
        <v/>
      </c>
      <c r="G49" s="5" t="inlineStr">
        <is>
          <t>A</t>
        </is>
      </c>
      <c r="H49" s="4" t="inlineStr">
        <is>
          <t>本期该产品主营业务收入 − 上期该产品主营业务收入</t>
        </is>
      </c>
      <c r="I49" s="5" t="inlineStr">
        <is>
          <t>—</t>
        </is>
      </c>
    </row>
    <row r="50">
      <c r="A50" s="5" t="inlineStr">
        <is>
          <t>其中：销量变动贡献</t>
        </is>
      </c>
      <c r="B50" s="52" t="inlineStr">
        <is>
          <t>万元</t>
        </is>
      </c>
      <c r="C50" s="12">
        <f>('04_业务结构原始数据'!D19-'04_业务结构原始数据'!C19)*('04_业务结构原始数据'!C21/'04_业务结构原始数据'!C19)</f>
        <v/>
      </c>
      <c r="D50" s="12">
        <f>('04_业务结构原始数据'!F19-'04_业务结构原始数据'!D19)*('04_业务结构原始数据'!D21/'04_业务结构原始数据'!D19)</f>
        <v/>
      </c>
      <c r="E50" s="12">
        <f>('04_业务结构原始数据'!D22-'04_业务结构原始数据'!C22)*('04_业务结构原始数据'!C24/'04_业务结构原始数据'!C22)</f>
        <v/>
      </c>
      <c r="F50" s="12">
        <f>('04_业务结构原始数据'!F22-'04_业务结构原始数据'!D22)*('04_业务结构原始数据'!D24/'04_业务结构原始数据'!D22)</f>
        <v/>
      </c>
      <c r="G50" s="5" t="inlineStr">
        <is>
          <t>A + E</t>
        </is>
      </c>
      <c r="H50" s="4" t="inlineStr">
        <is>
          <t>(本期销量 − 上期销量) × 上期平均单价；上期平均单价按“上期收入 ÷ 上期销量”现场计算</t>
        </is>
      </c>
      <c r="I50" s="5" t="inlineStr">
        <is>
          <t>与招股书披露的2025年四足51,371.57万元、人形125,085.09万元核对</t>
        </is>
      </c>
    </row>
    <row r="51">
      <c r="A51" s="5" t="inlineStr">
        <is>
          <t>其中：单价变动贡献</t>
        </is>
      </c>
      <c r="B51" s="52" t="inlineStr">
        <is>
          <t>万元</t>
        </is>
      </c>
      <c r="C51" s="12">
        <f>('04_业务结构原始数据'!D19)*(('04_业务结构原始数据'!D21/'04_业务结构原始数据'!D19)-('04_业务结构原始数据'!C21/'04_业务结构原始数据'!C19))</f>
        <v/>
      </c>
      <c r="D51" s="12">
        <f>('04_业务结构原始数据'!F19)*(('04_业务结构原始数据'!F21/'04_业务结构原始数据'!F19)-('04_业务结构原始数据'!D21/'04_业务结构原始数据'!D19))</f>
        <v/>
      </c>
      <c r="E51" s="12">
        <f>('04_业务结构原始数据'!D22)*(('04_业务结构原始数据'!D24/'04_业务结构原始数据'!D22)-('04_业务结构原始数据'!C24/'04_业务结构原始数据'!C22))</f>
        <v/>
      </c>
      <c r="F51" s="12">
        <f>('04_业务结构原始数据'!F22)*(('04_业务结构原始数据'!F24/'04_业务结构原始数据'!F22)-('04_业务结构原始数据'!D24/'04_业务结构原始数据'!D22))</f>
        <v/>
      </c>
      <c r="G51" s="5" t="inlineStr">
        <is>
          <t>A + E</t>
        </is>
      </c>
      <c r="H51" s="4" t="inlineStr">
        <is>
          <t>本期销量 × (本期平均单价 − 上期平均单价)；本期平均单价按“本期收入 ÷ 本期销量”现场计算</t>
        </is>
      </c>
      <c r="I51" s="5" t="inlineStr">
        <is>
          <t>与招股书披露的2025年四足−4,663.39万元、人形−49,031.66万元核对</t>
        </is>
      </c>
    </row>
    <row r="52">
      <c r="A52" s="54" t="inlineStr">
        <is>
          <t>拆解合计校验（销量贡献 + 单价贡献）</t>
        </is>
      </c>
      <c r="B52" s="55" t="inlineStr">
        <is>
          <t>万元</t>
        </is>
      </c>
      <c r="C52" s="68">
        <f>C50+C51</f>
        <v/>
      </c>
      <c r="D52" s="68">
        <f>D50+D51</f>
        <v/>
      </c>
      <c r="E52" s="68">
        <f>E50+E51</f>
        <v/>
      </c>
      <c r="F52" s="68">
        <f>F50+F51</f>
        <v/>
      </c>
      <c r="G52" s="54" t="inlineStr">
        <is>
          <t>E</t>
        </is>
      </c>
      <c r="H52" s="57" t="inlineStr">
        <is>
          <t>应与本表第49行“收入变动总额”完全相等（量价拆解闭合性检验）</t>
        </is>
      </c>
      <c r="I52" s="54" t="inlineStr">
        <is>
          <t>差异应为0；若不为0说明销量或收入取数有误</t>
        </is>
      </c>
    </row>
    <row r="53">
      <c r="A53" s="5" t="inlineStr">
        <is>
          <t>销量贡献占收入变动比例</t>
        </is>
      </c>
      <c r="B53" s="52" t="inlineStr">
        <is>
          <t>%</t>
        </is>
      </c>
      <c r="C53" s="12">
        <f>C50/C49</f>
        <v/>
      </c>
      <c r="D53" s="12">
        <f>D50/D49</f>
        <v/>
      </c>
      <c r="E53" s="12">
        <f>E50/E49</f>
        <v/>
      </c>
      <c r="F53" s="12">
        <f>F50/F49</f>
        <v/>
      </c>
      <c r="G53" s="5" t="inlineStr">
        <is>
          <t>E</t>
        </is>
      </c>
      <c r="H53" s="4" t="inlineStr">
        <is>
          <t>销量变动贡献 ÷ 收入变动总额；超过100%表示单价变动为负向拖累</t>
        </is>
      </c>
      <c r="I53" s="5" t="inlineStr">
        <is>
          <t>2025年四足约109.98%、人形约164.47%，与招股书披露一致</t>
        </is>
      </c>
    </row>
    <row r="54">
      <c r="A54" s="5" t="inlineStr">
        <is>
          <t>披露的平均单价（四舍五入值，仅作对照）</t>
        </is>
      </c>
      <c r="B54" s="52" t="inlineStr">
        <is>
          <t>万元/台</t>
        </is>
      </c>
      <c r="C54" s="12">
        <f>'04_业务结构原始数据'!D20</f>
        <v/>
      </c>
      <c r="D54" s="12">
        <f>'04_业务结构原始数据'!F20</f>
        <v/>
      </c>
      <c r="E54" s="12">
        <f>'04_业务结构原始数据'!D23</f>
        <v/>
      </c>
      <c r="F54" s="12">
        <f>'04_业务结构原始数据'!F23</f>
        <v/>
      </c>
      <c r="G54" s="5" t="inlineStr">
        <is>
          <t>A</t>
        </is>
      </c>
      <c r="H54" s="4" t="inlineStr">
        <is>
          <t>招股书直接披露的四舍五入单价（D列为2024、F列为2025）；用该值拆解会产生微小尾差，故上方测算不使用本行</t>
        </is>
      </c>
      <c r="I54" s="5" t="inlineStr">
        <is>
          <t>—</t>
        </is>
      </c>
    </row>
    <row r="55">
      <c r="A55" s="37" t="inlineStr">
        <is>
          <t>测算的平均单价（收入 ÷ 销量，精确值）</t>
        </is>
      </c>
      <c r="B55" s="71" t="inlineStr">
        <is>
          <t>万元/台</t>
        </is>
      </c>
      <c r="C55" s="72">
        <f>'04_业务结构原始数据'!D21/'04_业务结构原始数据'!D19</f>
        <v/>
      </c>
      <c r="D55" s="72">
        <f>'04_业务结构原始数据'!F21/'04_业务结构原始数据'!F19</f>
        <v/>
      </c>
      <c r="E55" s="72">
        <f>'04_业务结构原始数据'!D24/'04_业务结构原始数据'!D22</f>
        <v/>
      </c>
      <c r="F55" s="72">
        <f>'04_业务结构原始数据'!F24/'04_业务结构原始数据'!F22</f>
        <v/>
      </c>
      <c r="G55" s="37" t="inlineStr">
        <is>
          <t>A + E</t>
        </is>
      </c>
      <c r="H55" s="73" t="inlineStr">
        <is>
          <t>四足2024约3.2307、四足2025约3.0283；人形2024约26.0431、人形2025约16.6410</t>
        </is>
      </c>
      <c r="I55" s="37" t="inlineStr">
        <is>
          <t>与披露的四舍五入单价一致（差异&lt;0.01万元/台）</t>
        </is>
      </c>
    </row>
    <row r="56" ht="39" customHeight="1">
      <c r="A56" s="9" t="inlineStr">
        <is>
          <t>量价拆解结论：两大产品线2025年的收入增长均由销量驱动、并被单价下行部分抵消。四足机器人销量贡献+51,371.57万元（占变动额109.98%）、单价拖累−4,663.39万元（−9.98%）；人形机器人销量贡献+125,085.09万元（占164.47%）、单价拖累−49,031.66万元（−64.47%）。人形机器人平均单价由2023年59.34万元/台降至2025年16.64万元/台（累计降幅71.96%），是公司主动价格下探以换取市场规模的直接证据，也是未来毛利率能否维持60%以上的关键变量。</t>
        </is>
      </c>
    </row>
    <row r="58" ht="20" customHeight="1">
      <c r="A58" s="3" t="inlineStr">
        <is>
          <t>表7-5　现金流质量、营运能力与资产结构</t>
        </is>
      </c>
    </row>
    <row r="59" ht="30" customHeight="1">
      <c r="A59" s="7" t="inlineStr">
        <is>
          <t>指标</t>
        </is>
      </c>
      <c r="B59" s="7" t="inlineStr">
        <is>
          <t>单位</t>
        </is>
      </c>
      <c r="C59" s="7" t="inlineStr">
        <is>
          <t>2023年度</t>
        </is>
      </c>
      <c r="D59" s="7" t="inlineStr">
        <is>
          <t>2024年度</t>
        </is>
      </c>
      <c r="E59" s="7" t="inlineStr">
        <is>
          <t>2025年度</t>
        </is>
      </c>
      <c r="F59" s="7" t="inlineStr">
        <is>
          <t>2026年1-3月</t>
        </is>
      </c>
      <c r="G59" s="7" t="inlineStr">
        <is>
          <t>2026年1-6月</t>
        </is>
      </c>
      <c r="H59" s="7" t="inlineStr">
        <is>
          <t>计算口径与公式说明</t>
        </is>
      </c>
      <c r="I59" s="7" t="inlineStr">
        <is>
          <t>数据质量提示</t>
        </is>
      </c>
    </row>
    <row r="60">
      <c r="A60" s="5" t="inlineStr">
        <is>
          <t>经营活动现金流净额 ÷ 营业收入</t>
        </is>
      </c>
      <c r="B60" s="52" t="inlineStr">
        <is>
          <t>%</t>
        </is>
      </c>
      <c r="C60" s="14">
        <f>'03_财务原始数据'!C37/'03_财务原始数据'!C5</f>
        <v/>
      </c>
      <c r="D60" s="14">
        <f>'03_财务原始数据'!D37/'03_财务原始数据'!D5</f>
        <v/>
      </c>
      <c r="E60" s="14">
        <f>'03_财务原始数据'!E37/'03_财务原始数据'!E5</f>
        <v/>
      </c>
      <c r="F60" s="14">
        <f>'03_财务原始数据'!C74/'03_财务原始数据'!C68</f>
        <v/>
      </c>
      <c r="G60" s="14">
        <f>'03_财务原始数据'!C97/'03_财务原始数据'!C88</f>
        <v/>
      </c>
      <c r="H60" s="4" t="inlineStr">
        <is>
          <t>A / B / C</t>
        </is>
      </c>
      <c r="I60" s="5" t="inlineStr">
        <is>
          <t>衡量收入的现金含量（收现比）</t>
        </is>
      </c>
      <c r="J60" s="5" t="inlineStr">
        <is>
          <t>2023年仅3.11%，2024年跃升至约48.98%，2025年约39.43%，2026H1降至20.09%（半年口径，未年化）</t>
        </is>
      </c>
    </row>
    <row r="61">
      <c r="A61" s="5" t="inlineStr">
        <is>
          <t>净现比：经营现金流净额 ÷ 扣非归母净利润</t>
        </is>
      </c>
      <c r="B61" s="52" t="inlineStr">
        <is>
          <t>倍</t>
        </is>
      </c>
      <c r="C61" s="74">
        <f>IF('03_财务原始数据'!C32&gt;0,'03_财务原始数据'!C37/'03_财务原始数据'!C32,"不适用")</f>
        <v/>
      </c>
      <c r="D61" s="74">
        <f>IF('03_财务原始数据'!D32&gt;0,'03_财务原始数据'!D37/'03_财务原始数据'!D32,"不适用")</f>
        <v/>
      </c>
      <c r="E61" s="74">
        <f>IF('03_财务原始数据'!E32&gt;0,'03_财务原始数据'!E37/'03_财务原始数据'!E32,"不适用")</f>
        <v/>
      </c>
      <c r="F61" s="74">
        <f>IF('03_财务原始数据'!C73&gt;0,'03_财务原始数据'!C74/'03_财务原始数据'!C73,"不适用")</f>
        <v/>
      </c>
      <c r="G61" s="74">
        <f>IF('03_财务原始数据'!C92&gt;0,'03_财务原始数据'!C97/'03_财务原始数据'!C92,"不适用")</f>
        <v/>
      </c>
      <c r="H61" s="4" t="inlineStr">
        <is>
          <t>A / B / C</t>
        </is>
      </c>
      <c r="I61" s="5" t="inlineStr">
        <is>
          <t>扣非净利润的现金保障倍数，&gt;1 表示利润有充足现金支撑</t>
        </is>
      </c>
      <c r="J61" s="5" t="inlineStr">
        <is>
          <t>2023年扣非为亏损，返回“不适用”</t>
        </is>
      </c>
    </row>
    <row r="62">
      <c r="A62" s="54" t="inlineStr">
        <is>
          <t>净现比：经营现金流净额 ÷ 归母净利润</t>
        </is>
      </c>
      <c r="B62" s="55" t="inlineStr">
        <is>
          <t>倍</t>
        </is>
      </c>
      <c r="C62" s="75">
        <f>IF('03_财务原始数据'!C31&gt;0,'03_财务原始数据'!C37/'03_财务原始数据'!C31,"不适用")</f>
        <v/>
      </c>
      <c r="D62" s="75">
        <f>IF('03_财务原始数据'!D31&gt;0,'03_财务原始数据'!D37/'03_财务原始数据'!D31,"不适用")</f>
        <v/>
      </c>
      <c r="E62" s="75">
        <f>IF('03_财务原始数据'!E31&gt;0,'03_财务原始数据'!E37/'03_财务原始数据'!E31,"不适用")</f>
        <v/>
      </c>
      <c r="F62" s="75">
        <f>IF('03_财务原始数据'!C72&gt;0,'03_财务原始数据'!C74/'03_财务原始数据'!C72,"不适用")</f>
        <v/>
      </c>
      <c r="G62" s="75">
        <f>IF('03_财务原始数据'!C91&gt;0,'03_财务原始数据'!C97/'03_财务原始数据'!C91,"不适用")</f>
        <v/>
      </c>
      <c r="H62" s="57" t="inlineStr">
        <is>
          <t>A / B / C</t>
        </is>
      </c>
      <c r="I62" s="54" t="inlineStr">
        <is>
          <t>归母净利润的现金保障倍数。2025年该倍数（约2.41倍）远高于扣非口径（约1.13倍），差额正是股份支付费用“减少账面利润但不流出现金”的结果</t>
        </is>
      </c>
      <c r="J62" s="54" t="inlineStr">
        <is>
          <t>重要分析线索</t>
        </is>
      </c>
    </row>
    <row r="63">
      <c r="A63" s="5" t="inlineStr">
        <is>
          <t>总资产周转率</t>
        </is>
      </c>
      <c r="B63" s="52" t="inlineStr">
        <is>
          <t>次</t>
        </is>
      </c>
      <c r="C63" s="76" t="inlineStr">
        <is>
          <t>期初数未披露</t>
        </is>
      </c>
      <c r="D63" s="74">
        <f>'03_财务原始数据'!D5/(('03_财务原始数据'!C39+'03_财务原始数据'!D39)/2)</f>
        <v/>
      </c>
      <c r="E63" s="74">
        <f>'03_财务原始数据'!E5/(('03_财务原始数据'!D39+'03_财务原始数据'!E39)/2)</f>
        <v/>
      </c>
      <c r="F63" s="76" t="inlineStr">
        <is>
          <t>期初数不足</t>
        </is>
      </c>
      <c r="G63" s="74">
        <f>'03_财务原始数据'!C88/(('03_财务原始数据'!E39+'03_财务原始数据'!C101)/2)</f>
        <v/>
      </c>
      <c r="H63" s="4" t="inlineStr">
        <is>
          <t>A / C</t>
        </is>
      </c>
      <c r="I63" s="5" t="inlineStr">
        <is>
          <t>营业收入 ÷ 平均资产总额。2026H1列为半年数，未年化，不可与年度值直接比较</t>
        </is>
      </c>
      <c r="J63" s="5" t="inlineStr">
        <is>
          <t>2024年约0.41次、2025年约0.72次，资产使用效率显著提升</t>
        </is>
      </c>
    </row>
    <row r="64">
      <c r="A64" s="5" t="inlineStr">
        <is>
          <t>资产负债率（合并，测算）</t>
        </is>
      </c>
      <c r="B64" s="52" t="inlineStr">
        <is>
          <t>%</t>
        </is>
      </c>
      <c r="C64" s="14">
        <f>1-'03_财务原始数据'!C42/'03_财务原始数据'!C39</f>
        <v/>
      </c>
      <c r="D64" s="14">
        <f>1-'03_财务原始数据'!D42/'03_财务原始数据'!D39</f>
        <v/>
      </c>
      <c r="E64" s="14">
        <f>1-'03_财务原始数据'!E42/'03_财务原始数据'!E39</f>
        <v/>
      </c>
      <c r="F64" s="14">
        <f>1-'03_财务原始数据'!C79/'03_财务原始数据'!C77</f>
        <v/>
      </c>
      <c r="G64" s="14">
        <f>'03_财务原始数据'!C104</f>
        <v/>
      </c>
      <c r="H64" s="4" t="inlineStr">
        <is>
          <t>A / B / C</t>
        </is>
      </c>
      <c r="I64" s="5" t="inlineStr">
        <is>
          <t>测算口径 = 1 − 归母权益 ÷ 资产总额（假定少数股东权益极小）。2026H1列直接引用公告书披露值</t>
        </is>
      </c>
      <c r="J64" s="5" t="inlineStr">
        <is>
          <t>2025年测算值应与披露的18.82%基本一致；若差异明显说明存在少数股东权益</t>
        </is>
      </c>
    </row>
    <row r="65">
      <c r="A65" s="5" t="inlineStr">
        <is>
          <t>资产负债率（合并，披露）</t>
        </is>
      </c>
      <c r="B65" s="52" t="inlineStr">
        <is>
          <t>%</t>
        </is>
      </c>
      <c r="C65" s="14">
        <f>'03_财务原始数据'!C48</f>
        <v/>
      </c>
      <c r="D65" s="14">
        <f>'03_财务原始数据'!D48</f>
        <v/>
      </c>
      <c r="E65" s="14">
        <f>'03_财务原始数据'!E48</f>
        <v/>
      </c>
      <c r="F65" s="53" t="inlineStr">
        <is>
          <t>未披露</t>
        </is>
      </c>
      <c r="G65" s="14">
        <f>'03_财务原始数据'!C104</f>
        <v/>
      </c>
      <c r="H65" s="4" t="inlineStr">
        <is>
          <t>A / C</t>
        </is>
      </c>
      <c r="I65" s="5" t="inlineStr">
        <is>
          <t>直接引用披露值，与上一行互为校验</t>
        </is>
      </c>
      <c r="J65" s="5" t="inlineStr">
        <is>
          <t>差异应为0</t>
        </is>
      </c>
    </row>
    <row r="66">
      <c r="A66" s="5" t="inlineStr">
        <is>
          <t>流动资产占总资产比例</t>
        </is>
      </c>
      <c r="B66" s="52" t="inlineStr">
        <is>
          <t>%</t>
        </is>
      </c>
      <c r="C66" s="14">
        <f>'03_财务原始数据'!C40/'03_财务原始数据'!C39</f>
        <v/>
      </c>
      <c r="D66" s="14">
        <f>'03_财务原始数据'!D40/'03_财务原始数据'!D39</f>
        <v/>
      </c>
      <c r="E66" s="14">
        <f>'03_财务原始数据'!E40/'03_财务原始数据'!E39</f>
        <v/>
      </c>
      <c r="F66" s="53" t="inlineStr">
        <is>
          <t>未披露</t>
        </is>
      </c>
      <c r="G66" s="14">
        <f>'03_财务原始数据'!C99/'03_财务原始数据'!C101</f>
        <v/>
      </c>
      <c r="H66" s="4" t="inlineStr">
        <is>
          <t>A / C</t>
        </is>
      </c>
      <c r="I66" s="5" t="inlineStr">
        <is>
          <t>资产轻量化程度。2025年末流动资产占比约69.18%，非流动资产占比约30.82%</t>
        </is>
      </c>
      <c r="J66" s="5" t="inlineStr">
        <is>
          <t>—</t>
        </is>
      </c>
    </row>
    <row r="67">
      <c r="A67" s="22" t="inlineStr">
        <is>
          <t>存货占流动资产比例</t>
        </is>
      </c>
      <c r="B67" s="59" t="inlineStr">
        <is>
          <t>%</t>
        </is>
      </c>
      <c r="C67" s="61" t="inlineStr">
        <is>
          <t>未提取</t>
        </is>
      </c>
      <c r="D67" s="61" t="inlineStr">
        <is>
          <t>未提取</t>
        </is>
      </c>
      <c r="E67" s="60">
        <f>'03_财务原始数据'!E44/'03_财务原始数据'!E40</f>
        <v/>
      </c>
      <c r="F67" s="61" t="inlineStr">
        <is>
          <t>未披露</t>
        </is>
      </c>
      <c r="G67" s="61" t="inlineStr">
        <is>
          <t>未披露</t>
        </is>
      </c>
      <c r="H67" s="62" t="inlineStr">
        <is>
          <t>A / C</t>
        </is>
      </c>
      <c r="I67" s="22" t="inlineStr">
        <is>
          <t>存货（账面价值）÷ 流动资产。2023、2024年存货数据未从招股书中提取（见表10待核验）</t>
        </is>
      </c>
      <c r="J67" s="22" t="inlineStr">
        <is>
          <t>2025年末存货36,775.34万元，占流动资产约16.57%；已计提跌价准备2,457.37万元</t>
        </is>
      </c>
    </row>
    <row r="68">
      <c r="A68" s="5" t="inlineStr">
        <is>
          <t>存货跌价准备计提率</t>
        </is>
      </c>
      <c r="B68" s="52" t="inlineStr">
        <is>
          <t>%</t>
        </is>
      </c>
      <c r="C68" s="53" t="inlineStr">
        <is>
          <t>未提取</t>
        </is>
      </c>
      <c r="D68" s="53" t="inlineStr">
        <is>
          <t>未提取</t>
        </is>
      </c>
      <c r="E68" s="14">
        <f>'03_财务原始数据'!E45/('03_财务原始数据'!E44+'03_财务原始数据'!E45)</f>
        <v/>
      </c>
      <c r="F68" s="53" t="inlineStr">
        <is>
          <t>未披露</t>
        </is>
      </c>
      <c r="G68" s="53" t="inlineStr">
        <is>
          <t>未披露</t>
        </is>
      </c>
      <c r="H68" s="4" t="inlineStr">
        <is>
          <t>A</t>
        </is>
      </c>
      <c r="I68" s="5" t="inlineStr">
        <is>
          <t>存货跌价准备 ÷ 存货账面余额（= 账面价值 + 跌价准备）</t>
        </is>
      </c>
      <c r="J68" s="5" t="inlineStr">
        <is>
          <t>2025年末约6.26%</t>
        </is>
      </c>
    </row>
    <row r="69">
      <c r="A69" s="22" t="inlineStr">
        <is>
          <t>存货周转率（近似口径）</t>
        </is>
      </c>
      <c r="B69" s="59" t="inlineStr">
        <is>
          <t>次</t>
        </is>
      </c>
      <c r="C69" s="77" t="inlineStr">
        <is>
          <t>数据缺失</t>
        </is>
      </c>
      <c r="D69" s="77" t="inlineStr">
        <is>
          <t>数据缺失</t>
        </is>
      </c>
      <c r="E69" s="78">
        <f>'03_财务原始数据'!E9/'03_财务原始数据'!E44</f>
        <v/>
      </c>
      <c r="F69" s="77" t="inlineStr">
        <is>
          <t>数据缺失</t>
        </is>
      </c>
      <c r="G69" s="77" t="inlineStr">
        <is>
          <t>数据缺失</t>
        </is>
      </c>
      <c r="H69" s="62" t="inlineStr">
        <is>
          <t>A + E</t>
        </is>
      </c>
      <c r="I69" s="22" t="inlineStr">
        <is>
          <t>受限于期初存货未提取，此处以“主营业务成本 ÷ 期末存货”近似，非标准平均余额口径，仅供参考</t>
        </is>
      </c>
      <c r="J69" s="22" t="inlineStr">
        <is>
          <t>口径受限，正式引用前必须补齐2024年末存货数（见表10）</t>
        </is>
      </c>
    </row>
    <row r="70">
      <c r="A70" s="22" t="inlineStr">
        <is>
          <t>应收账款周转率</t>
        </is>
      </c>
      <c r="B70" s="59" t="inlineStr">
        <is>
          <t>次</t>
        </is>
      </c>
      <c r="C70" s="61" t="inlineStr">
        <is>
          <t>数据缺失</t>
        </is>
      </c>
      <c r="D70" s="61" t="inlineStr">
        <is>
          <t>数据缺失</t>
        </is>
      </c>
      <c r="E70" s="61" t="inlineStr">
        <is>
          <t>数据缺失</t>
        </is>
      </c>
      <c r="F70" s="61" t="inlineStr">
        <is>
          <t>数据缺失</t>
        </is>
      </c>
      <c r="G70" s="61" t="inlineStr">
        <is>
          <t>数据缺失</t>
        </is>
      </c>
      <c r="H70" s="62" t="inlineStr">
        <is>
          <t>—</t>
        </is>
      </c>
      <c r="I70" s="22" t="inlineStr">
        <is>
          <t>招股书未在本次提取范围内直接披露报告期各期末应收账款账面余额；由表5-4前五大应收合计1,769.78万元占比28.59%可反推2025年末余额约6,196万元，但该反推未经原文确认（见表10）</t>
        </is>
      </c>
      <c r="J70" s="22" t="inlineStr">
        <is>
          <t>本行暂不计算，待人工核验原始披露后补入</t>
        </is>
      </c>
    </row>
    <row r="71">
      <c r="A71" s="22" t="inlineStr">
        <is>
          <t>应收账款坏账计提比例（公司）</t>
        </is>
      </c>
      <c r="B71" s="59" t="inlineStr">
        <is>
          <t>%</t>
        </is>
      </c>
      <c r="C71" s="60">
        <f>'03_财务原始数据'!C57</f>
        <v/>
      </c>
      <c r="D71" s="60">
        <f>'03_财务原始数据'!D57</f>
        <v/>
      </c>
      <c r="E71" s="60">
        <f>'03_财务原始数据'!E57</f>
        <v/>
      </c>
      <c r="F71" s="61" t="inlineStr">
        <is>
          <t>未披露</t>
        </is>
      </c>
      <c r="G71" s="61" t="inlineStr">
        <is>
          <t>未披露</t>
        </is>
      </c>
      <c r="H71" s="62" t="inlineStr">
        <is>
          <t>A</t>
        </is>
      </c>
      <c r="I71" s="22" t="inlineStr">
        <is>
          <t>公司自身预期信用损失计提比例</t>
        </is>
      </c>
      <c r="J71" s="22" t="inlineStr">
        <is>
          <t>三年均显著低于同业平均（2025年5.13% vs 14.07%）</t>
        </is>
      </c>
    </row>
    <row r="72">
      <c r="A72" s="22" t="inlineStr">
        <is>
          <t>坏账计提比例差额（公司 − 同业，百分点）</t>
        </is>
      </c>
      <c r="B72" s="59" t="inlineStr">
        <is>
          <t>百分点</t>
        </is>
      </c>
      <c r="C72" s="60">
        <f>('03_财务原始数据'!C57-'03_财务原始数据'!C58)*100</f>
        <v/>
      </c>
      <c r="D72" s="60">
        <f>('03_财务原始数据'!D57-'03_财务原始数据'!D58)*100</f>
        <v/>
      </c>
      <c r="E72" s="60">
        <f>('03_财务原始数据'!E57-'03_财务原始数据'!E58)*100</f>
        <v/>
      </c>
      <c r="F72" s="61" t="inlineStr">
        <is>
          <t>未披露</t>
        </is>
      </c>
      <c r="G72" s="61" t="inlineStr">
        <is>
          <t>未披露</t>
        </is>
      </c>
      <c r="H72" s="62" t="inlineStr">
        <is>
          <t>A + E</t>
        </is>
      </c>
      <c r="I72" s="22" t="inlineStr">
        <is>
          <t>负值表示公司计提比例低于同业平均。若按同业平均比例计提，2025年将额外减少利润，该敏感性影响需以确认后的应收账款余额测算</t>
        </is>
      </c>
      <c r="J72" s="22" t="inlineStr">
        <is>
          <t>会计估计差异点，属重要关注事项</t>
        </is>
      </c>
    </row>
    <row r="73" ht="26" customHeight="1">
      <c r="A73" s="9" t="inlineStr">
        <is>
          <t>现金流质量结论：报告期经营活动现金流净额持续为正，2024—2025年大幅超过账面净利润，2025年达66,998.18万元（占营业收入39.43%），显示公司具有较强的回款能力和较低的应收依赖。但2026年1-3月经营现金流净额仅3,439.96万元，同比下降85.65%；2026年1-6月为23,154.53万元，同比下降32.53%，与同期收入+48.54%的增速形成明显背离，是本底稿识别出的最需要跟踪的先行指标。</t>
        </is>
      </c>
    </row>
    <row r="75" ht="20" customHeight="1">
      <c r="A75" s="3" t="inlineStr">
        <is>
          <t>表7-6　研发投入与科创板科创属性指标校验</t>
        </is>
      </c>
    </row>
    <row r="76" ht="30" customHeight="1">
      <c r="A76" s="7" t="inlineStr">
        <is>
          <t>指标</t>
        </is>
      </c>
      <c r="B76" s="7" t="inlineStr">
        <is>
          <t>单位</t>
        </is>
      </c>
      <c r="C76" s="7" t="inlineStr">
        <is>
          <t>2023年度</t>
        </is>
      </c>
      <c r="D76" s="7" t="inlineStr">
        <is>
          <t>2024年度</t>
        </is>
      </c>
      <c r="E76" s="7" t="inlineStr">
        <is>
          <t>2025年度</t>
        </is>
      </c>
      <c r="F76" s="7" t="inlineStr">
        <is>
          <t>2026年1-3月</t>
        </is>
      </c>
      <c r="G76" s="7" t="inlineStr">
        <is>
          <t>2026年1-6月</t>
        </is>
      </c>
      <c r="H76" s="7" t="inlineStr">
        <is>
          <t>计算口径与公式说明</t>
        </is>
      </c>
      <c r="I76" s="7" t="inlineStr">
        <is>
          <t>勾稽校验</t>
        </is>
      </c>
    </row>
    <row r="77">
      <c r="A77" s="5" t="inlineStr">
        <is>
          <t>研发费用</t>
        </is>
      </c>
      <c r="B77" s="52" t="inlineStr">
        <is>
          <t>万元</t>
        </is>
      </c>
      <c r="C77" s="12">
        <f>'03_财务原始数据'!C15</f>
        <v/>
      </c>
      <c r="D77" s="12">
        <f>'03_财务原始数据'!D15</f>
        <v/>
      </c>
      <c r="E77" s="12">
        <f>'03_财务原始数据'!E15</f>
        <v/>
      </c>
      <c r="F77" s="52" t="inlineStr">
        <is>
          <t>仅披露同比增额</t>
        </is>
      </c>
      <c r="G77" s="52" t="inlineStr">
        <is>
          <t>仅披露同比增额</t>
        </is>
      </c>
      <c r="H77" s="4" t="inlineStr">
        <is>
          <t>A</t>
        </is>
      </c>
      <c r="I77" s="5" t="inlineStr">
        <is>
          <t>直接引用表3-1研发费用</t>
        </is>
      </c>
      <c r="J77" s="5" t="inlineStr">
        <is>
          <t>Q1披露同比增额3,832.80万元、H1披露同比增额8,203.74万元，均未披露绝对值</t>
        </is>
      </c>
    </row>
    <row r="78">
      <c r="A78" s="5" t="inlineStr">
        <is>
          <t>研发费用同比增速</t>
        </is>
      </c>
      <c r="B78" s="52" t="inlineStr">
        <is>
          <t>%</t>
        </is>
      </c>
      <c r="C78" s="52" t="inlineStr">
        <is>
          <t>上年数未披露</t>
        </is>
      </c>
      <c r="D78" s="12">
        <f>'03_财务原始数据'!D15/'03_财务原始数据'!C15-1</f>
        <v/>
      </c>
      <c r="E78" s="12">
        <f>'03_财务原始数据'!E15/'03_财务原始数据'!D15-1</f>
        <v/>
      </c>
      <c r="F78" s="52" t="inlineStr">
        <is>
          <t>披露为增额</t>
        </is>
      </c>
      <c r="G78" s="52" t="inlineStr">
        <is>
          <t>披露为增额</t>
        </is>
      </c>
      <c r="H78" s="4" t="inlineStr">
        <is>
          <t>A / B / C</t>
        </is>
      </c>
      <c r="I78" s="5" t="inlineStr">
        <is>
          <t>研发费用 ÷ 上年研发费用 − 1</t>
        </is>
      </c>
      <c r="J78" s="5" t="inlineStr">
        <is>
          <t>2026Q1、H1招股书与公告书仅披露同比增加额，未披露绝对值，故本表不推算</t>
        </is>
      </c>
    </row>
    <row r="79">
      <c r="A79" s="5" t="inlineStr">
        <is>
          <t>研发费用率（测算）</t>
        </is>
      </c>
      <c r="B79" s="52" t="inlineStr">
        <is>
          <t>%</t>
        </is>
      </c>
      <c r="C79" s="12">
        <f>'03_财务原始数据'!C15/'03_财务原始数据'!C5</f>
        <v/>
      </c>
      <c r="D79" s="12">
        <f>'03_财务原始数据'!D15/'03_财务原始数据'!D5</f>
        <v/>
      </c>
      <c r="E79" s="12">
        <f>'03_财务原始数据'!E15/'03_财务原始数据'!E5</f>
        <v/>
      </c>
      <c r="F79" s="52" t="inlineStr">
        <is>
          <t>未披露</t>
        </is>
      </c>
      <c r="G79" s="52" t="inlineStr">
        <is>
          <t>未披露</t>
        </is>
      </c>
      <c r="H79" s="4" t="inlineStr">
        <is>
          <t>A</t>
        </is>
      </c>
      <c r="I79" s="5" t="inlineStr">
        <is>
          <t>研发费用 ÷ 营业收入</t>
        </is>
      </c>
      <c r="J79" s="5" t="inlineStr">
        <is>
          <t>应与披露的31.39%/17.83%/8.53%一致</t>
        </is>
      </c>
    </row>
    <row r="80">
      <c r="A80" s="5" t="inlineStr">
        <is>
          <t>研发投入占营业收入比例（披露）</t>
        </is>
      </c>
      <c r="B80" s="52" t="inlineStr">
        <is>
          <t>%</t>
        </is>
      </c>
      <c r="C80" s="12">
        <f>'03_财务原始数据'!C54</f>
        <v/>
      </c>
      <c r="D80" s="12">
        <f>'03_财务原始数据'!D54</f>
        <v/>
      </c>
      <c r="E80" s="12">
        <f>'03_财务原始数据'!E54</f>
        <v/>
      </c>
      <c r="F80" s="52" t="inlineStr">
        <is>
          <t>—</t>
        </is>
      </c>
      <c r="G80" s="52" t="inlineStr">
        <is>
          <t>—</t>
        </is>
      </c>
      <c r="H80" s="4" t="inlineStr">
        <is>
          <t>A</t>
        </is>
      </c>
      <c r="I80" s="5" t="inlineStr">
        <is>
          <t>直接引用披露值，与上一行互为校验</t>
        </is>
      </c>
      <c r="J80" s="5" t="inlineStr">
        <is>
          <t>差异应为0</t>
        </is>
      </c>
    </row>
    <row r="81">
      <c r="A81" s="54" t="inlineStr">
        <is>
          <t>三年研发费用累计（科创属性指标）</t>
        </is>
      </c>
      <c r="B81" s="55" t="inlineStr">
        <is>
          <t>万元</t>
        </is>
      </c>
      <c r="C81" s="55" t="inlineStr">
        <is>
          <t>—</t>
        </is>
      </c>
      <c r="D81" s="68">
        <f>SUM('03_财务原始数据'!C15:E15)</f>
        <v/>
      </c>
      <c r="E81" s="55" t="inlineStr">
        <is>
          <t>—</t>
        </is>
      </c>
      <c r="F81" s="55" t="inlineStr">
        <is>
          <t>—</t>
        </is>
      </c>
      <c r="G81" s="55" t="inlineStr">
        <is>
          <t>—</t>
        </is>
      </c>
      <c r="H81" s="57" t="inlineStr">
        <is>
          <t>A</t>
        </is>
      </c>
      <c r="I81" s="54" t="inlineStr">
        <is>
          <t>2023+2024+2025年研发费用之和</t>
        </is>
      </c>
      <c r="J81" s="54" t="inlineStr">
        <is>
          <t>科创属性要求最近三年累计研发费用≥8,000万元；测算值应约等于26,493.44万元，达标</t>
        </is>
      </c>
    </row>
    <row r="82">
      <c r="A82" s="5" t="inlineStr">
        <is>
          <t>人均研发费用</t>
        </is>
      </c>
      <c r="B82" s="52" t="inlineStr">
        <is>
          <t>万元/人</t>
        </is>
      </c>
      <c r="C82" s="52" t="inlineStr">
        <is>
          <t>研发人数未披露</t>
        </is>
      </c>
      <c r="D82" s="52" t="inlineStr">
        <is>
          <t>研发人数未披露</t>
        </is>
      </c>
      <c r="E82" s="12">
        <f>'03_财务原始数据'!E15/'03_财务原始数据'!E60</f>
        <v/>
      </c>
      <c r="F82" s="52" t="inlineStr">
        <is>
          <t>未披露</t>
        </is>
      </c>
      <c r="G82" s="52" t="inlineStr">
        <is>
          <t>未披露</t>
        </is>
      </c>
      <c r="H82" s="4" t="inlineStr">
        <is>
          <t>A + E</t>
        </is>
      </c>
      <c r="I82" s="5" t="inlineStr">
        <is>
          <t>2025年研发费用 ÷ 2025年末研发人员数（184人）</t>
        </is>
      </c>
      <c r="J82" s="5" t="inlineStr">
        <is>
          <t>2025年约78.79万元/人</t>
        </is>
      </c>
    </row>
    <row r="83">
      <c r="A83" s="37" t="inlineStr">
        <is>
          <t>研发人员占员工总数比例（测算）</t>
        </is>
      </c>
      <c r="B83" s="71" t="inlineStr">
        <is>
          <t>%</t>
        </is>
      </c>
      <c r="C83" s="71" t="inlineStr">
        <is>
          <t>未披露</t>
        </is>
      </c>
      <c r="D83" s="71" t="inlineStr">
        <is>
          <t>未披露</t>
        </is>
      </c>
      <c r="E83" s="72">
        <f>'03_财务原始数据'!E60/'03_财务原始数据'!E61</f>
        <v/>
      </c>
      <c r="F83" s="71" t="inlineStr">
        <is>
          <t>未披露</t>
        </is>
      </c>
      <c r="G83" s="71" t="inlineStr">
        <is>
          <t>未披露</t>
        </is>
      </c>
      <c r="H83" s="73" t="inlineStr">
        <is>
          <t>A</t>
        </is>
      </c>
      <c r="I83" s="37" t="inlineStr">
        <is>
          <t>研发人员 ÷ 员工总数</t>
        </is>
      </c>
      <c r="J83" s="37" t="inlineStr">
        <is>
          <t>科创属性要求≥10%；测算值应约等于披露的35.66%，达标</t>
        </is>
      </c>
    </row>
    <row r="84">
      <c r="A84" s="5" t="inlineStr">
        <is>
          <t>研发费用 ÷ 扣非归母净利润</t>
        </is>
      </c>
      <c r="B84" s="52" t="inlineStr">
        <is>
          <t>%</t>
        </is>
      </c>
      <c r="C84" s="12">
        <f>IF('03_财务原始数据'!C32&gt;0,'03_财务原始数据'!C15/'03_财务原始数据'!C32,"不适用")</f>
        <v/>
      </c>
      <c r="D84" s="12">
        <f>IF('03_财务原始数据'!D32&gt;0,'03_财务原始数据'!D15/'03_财务原始数据'!D32,"不适用")</f>
        <v/>
      </c>
      <c r="E84" s="12">
        <f>IF('03_财务原始数据'!E32&gt;0,'03_财务原始数据'!E15/'03_财务原始数据'!E32,"不适用")</f>
        <v/>
      </c>
      <c r="F84" s="52" t="inlineStr">
        <is>
          <t>未披露</t>
        </is>
      </c>
      <c r="G84" s="52" t="inlineStr">
        <is>
          <t>未披露</t>
        </is>
      </c>
      <c r="H84" s="4" t="inlineStr">
        <is>
          <t>A</t>
        </is>
      </c>
      <c r="I84" s="5" t="inlineStr">
        <is>
          <t>衡量研发投入相对于自身盈利能力的强度</t>
        </is>
      </c>
      <c r="J84" s="5" t="inlineStr">
        <is>
          <t>2024年约89.22%、2025年约24.54%</t>
        </is>
      </c>
    </row>
    <row r="85">
      <c r="A85" s="5" t="inlineStr">
        <is>
          <t>研发费用 ÷ 营业成本</t>
        </is>
      </c>
      <c r="B85" s="52" t="inlineStr">
        <is>
          <t>%</t>
        </is>
      </c>
      <c r="C85" s="12">
        <f>'03_财务原始数据'!C15/'03_财务原始数据'!C8</f>
        <v/>
      </c>
      <c r="D85" s="12">
        <f>'03_财务原始数据'!D15/'03_财务原始数据'!D8</f>
        <v/>
      </c>
      <c r="E85" s="12">
        <f>'03_财务原始数据'!E15/'03_财务原始数据'!E8</f>
        <v/>
      </c>
      <c r="F85" s="52" t="inlineStr">
        <is>
          <t>未披露</t>
        </is>
      </c>
      <c r="G85" s="52" t="inlineStr">
        <is>
          <t>未披露</t>
        </is>
      </c>
      <c r="H85" s="4" t="inlineStr">
        <is>
          <t>A</t>
        </is>
      </c>
      <c r="I85" s="5" t="inlineStr">
        <is>
          <t>研发强度相对于生产投入的比例</t>
        </is>
      </c>
      <c r="J85" s="5" t="inlineStr">
        <is>
          <t>—</t>
        </is>
      </c>
    </row>
    <row r="86" ht="39" customHeight="1">
      <c r="A86" s="9" t="inlineStr">
        <is>
          <t>科创属性指标校验结果（依据表2-1与表3-1）：①最近三年累计研发费用26,493.44万元 &gt; 8,000万元门槛；②研发人员占员工总数35.66% &gt; 10%门槛；③截至2026年1月31日拥有境内发明专利20项（境内外注册专利合计262项），满足发明专利数量要求；④最近三年营业收入复合增长率226.78%，远高于门槛。四项指标均达标。需要关注：研发费用率由2023年的31.39%快速降至2025年的8.53%，绝对额虽仍在增长（4,995.18万→14,496.56万元），但增速远低于收入增速；后续能否支撑“智能机器人模型研发项目”202,245.93万元的募投强度，是判断技术领先性可持续性的关键。</t>
        </is>
      </c>
    </row>
    <row r="88" ht="20" customHeight="1">
      <c r="A88" s="3" t="inlineStr">
        <is>
          <t>表7-7　发行定价、估值倍数复算与募集资金超募测算</t>
        </is>
      </c>
    </row>
    <row r="89" ht="30" customHeight="1">
      <c r="A89" s="7" t="inlineStr">
        <is>
          <t>指标</t>
        </is>
      </c>
      <c r="B89" s="7" t="inlineStr">
        <is>
          <t>单位</t>
        </is>
      </c>
      <c r="C89" s="7" t="inlineStr">
        <is>
          <t>本底稿复算值</t>
        </is>
      </c>
      <c r="D89" s="7" t="inlineStr">
        <is>
          <t>披露值</t>
        </is>
      </c>
      <c r="E89" s="7" t="inlineStr">
        <is>
          <t>复算 − 披露</t>
        </is>
      </c>
      <c r="F89" s="7" t="inlineStr">
        <is>
          <t>输入项性质</t>
        </is>
      </c>
      <c r="G89" s="7" t="inlineStr">
        <is>
          <t>披露来源</t>
        </is>
      </c>
      <c r="H89" s="7" t="inlineStr">
        <is>
          <t>计算口径与公式说明</t>
        </is>
      </c>
      <c r="I89" s="7" t="inlineStr">
        <is>
          <t>校验判定</t>
        </is>
      </c>
    </row>
    <row r="90">
      <c r="A90" s="5" t="inlineStr">
        <is>
          <t>按发行价计算的募集资金总额</t>
        </is>
      </c>
      <c r="B90" s="5" t="inlineStr">
        <is>
          <t>万元</t>
        </is>
      </c>
      <c r="C90" s="12">
        <f>'02_发行上市原始数据'!B5*'02_发行上市原始数据'!B6/10000</f>
        <v/>
      </c>
      <c r="D90" s="12">
        <f>'02_发行上市原始数据'!B26</f>
        <v/>
      </c>
      <c r="E90" s="12">
        <f>C90-D90</f>
        <v/>
      </c>
      <c r="F90" s="5" t="inlineStr">
        <is>
          <t>A + E</t>
        </is>
      </c>
      <c r="G90" s="5" t="inlineStr">
        <is>
          <t>S2</t>
        </is>
      </c>
      <c r="H90" s="4" t="inlineStr">
        <is>
          <t>发行价格 × 发行股票数量 ÷ 10,000</t>
        </is>
      </c>
      <c r="I90" s="4" t="inlineStr">
        <is>
          <t>应等于609,932.22万元</t>
        </is>
      </c>
    </row>
    <row r="91">
      <c r="A91" s="5" t="inlineStr">
        <is>
          <t>募集资金净额（复算）</t>
        </is>
      </c>
      <c r="B91" s="5" t="inlineStr">
        <is>
          <t>万元</t>
        </is>
      </c>
      <c r="C91" s="12">
        <f>'02_发行上市原始数据'!B26-'02_发行上市原始数据'!B27</f>
        <v/>
      </c>
      <c r="D91" s="12">
        <f>'02_发行上市原始数据'!B33</f>
        <v/>
      </c>
      <c r="E91" s="12">
        <f>C91-D91</f>
        <v/>
      </c>
      <c r="F91" s="5" t="inlineStr">
        <is>
          <t>A + E</t>
        </is>
      </c>
      <c r="G91" s="5" t="inlineStr">
        <is>
          <t>S2</t>
        </is>
      </c>
      <c r="H91" s="4" t="inlineStr">
        <is>
          <t>募集资金总额 − 发行费用合计（不含增值税）</t>
        </is>
      </c>
      <c r="I91" s="4" t="inlineStr">
        <is>
          <t>允许±0.02万元四舍五入尾差</t>
        </is>
      </c>
    </row>
    <row r="92">
      <c r="A92" s="5" t="inlineStr">
        <is>
          <t>按发行价计算的发行后总市值</t>
        </is>
      </c>
      <c r="B92" s="5" t="inlineStr">
        <is>
          <t>万元</t>
        </is>
      </c>
      <c r="C92" s="12">
        <f>'02_发行上市原始数据'!B5*'02_发行上市原始数据'!B10/10000</f>
        <v/>
      </c>
      <c r="D92" s="12">
        <f>'02_发行上市原始数据'!B45*10000</f>
        <v/>
      </c>
      <c r="E92" s="12">
        <f>C92-D92</f>
        <v/>
      </c>
      <c r="F92" s="5" t="inlineStr">
        <is>
          <t>A + E</t>
        </is>
      </c>
      <c r="G92" s="5" t="inlineStr">
        <is>
          <t>S2</t>
        </is>
      </c>
      <c r="H92" s="4" t="inlineStr">
        <is>
          <t>复算：发行价格 × 发行后总股本 ÷ 10,000，单位万元。披露值原单位为亿元，本行已按 ×10,000 换算为万元后再作差额比较，避免单位不一致造成的伪差异</t>
        </is>
      </c>
      <c r="I92" s="4" t="inlineStr">
        <is>
          <t>允许±1万元（披露值609.93亿元仅保留两位小数，换算后尾差属正常）</t>
        </is>
      </c>
    </row>
    <row r="93">
      <c r="A93" s="25" t="inlineStr">
        <is>
          <t>【发行市盈率复算】</t>
        </is>
      </c>
      <c r="B93" s="25" t="inlineStr"/>
      <c r="C93" s="25" t="inlineStr"/>
      <c r="D93" s="25" t="inlineStr"/>
      <c r="E93" s="25" t="inlineStr"/>
      <c r="F93" s="25" t="inlineStr"/>
      <c r="G93" s="25" t="inlineStr"/>
      <c r="H93" s="70" t="inlineStr"/>
      <c r="I93" s="25" t="inlineStr"/>
    </row>
    <row r="94">
      <c r="A94" s="5" t="inlineStr">
        <is>
          <t>发行市盈率①：扣非后净利 ÷ 发行前总股本</t>
        </is>
      </c>
      <c r="B94" s="5" t="inlineStr">
        <is>
          <t>倍</t>
        </is>
      </c>
      <c r="C94" s="74">
        <f>'02_发行上市原始数据'!B5/('03_财务原始数据'!E32/('02_发行上市原始数据'!B9))</f>
        <v/>
      </c>
      <c r="D94" s="74">
        <f>'02_发行上市原始数据'!B36</f>
        <v/>
      </c>
      <c r="E94" s="74">
        <f>C94-D94</f>
        <v/>
      </c>
      <c r="F94" s="5" t="inlineStr">
        <is>
          <t>A + E</t>
        </is>
      </c>
      <c r="G94" s="5" t="inlineStr">
        <is>
          <t>S2/S3</t>
        </is>
      </c>
      <c r="H94" s="4" t="inlineStr">
        <is>
          <t>发行价 ÷ (2025年扣非后归母净利润 ÷ 发行前总股本)。扣非后净利59,075.28万元高于扣非前27,821.05万元，故该口径市盈率最低</t>
        </is>
      </c>
      <c r="I94" s="4" t="inlineStr">
        <is>
          <t>差异应为0</t>
        </is>
      </c>
    </row>
    <row r="95">
      <c r="A95" s="5" t="inlineStr">
        <is>
          <t>发行市盈率②：扣非前净利 ÷ 发行前总股本</t>
        </is>
      </c>
      <c r="B95" s="5" t="inlineStr">
        <is>
          <t>倍</t>
        </is>
      </c>
      <c r="C95" s="74">
        <f>'02_发行上市原始数据'!B5/('03_财务原始数据'!E31/('02_发行上市原始数据'!B9))</f>
        <v/>
      </c>
      <c r="D95" s="74">
        <f>'02_发行上市原始数据'!B37</f>
        <v/>
      </c>
      <c r="E95" s="74">
        <f>C95-D95</f>
        <v/>
      </c>
      <c r="F95" s="5" t="inlineStr">
        <is>
          <t>A + E</t>
        </is>
      </c>
      <c r="G95" s="5" t="inlineStr">
        <is>
          <t>S2/S3</t>
        </is>
      </c>
      <c r="H95" s="4" t="inlineStr">
        <is>
          <t>发行价 ÷ (2025年归母净利润 ÷ 发行前总股本)</t>
        </is>
      </c>
      <c r="I95" s="4" t="inlineStr">
        <is>
          <t>差异应为0</t>
        </is>
      </c>
    </row>
    <row r="96">
      <c r="A96" s="5" t="inlineStr">
        <is>
          <t>发行市盈率③：扣非后净利 ÷ 发行后总股本</t>
        </is>
      </c>
      <c r="B96" s="5" t="inlineStr">
        <is>
          <t>倍</t>
        </is>
      </c>
      <c r="C96" s="74">
        <f>'02_发行上市原始数据'!B5/('03_财务原始数据'!E32/('02_发行上市原始数据'!B11))</f>
        <v/>
      </c>
      <c r="D96" s="74">
        <f>'02_发行上市原始数据'!B38</f>
        <v/>
      </c>
      <c r="E96" s="74">
        <f>C96-D96</f>
        <v/>
      </c>
      <c r="F96" s="5" t="inlineStr">
        <is>
          <t>A + E</t>
        </is>
      </c>
      <c r="G96" s="5" t="inlineStr">
        <is>
          <t>S2/S3</t>
        </is>
      </c>
      <c r="H96" s="4" t="inlineStr">
        <is>
          <t>发行价 ÷ (2025年扣非后归母净利润 ÷ 发行后总股本)；等价于发行后市值 ÷ 扣非后净利</t>
        </is>
      </c>
      <c r="I96" s="4" t="inlineStr">
        <is>
          <t>差异应为0</t>
        </is>
      </c>
    </row>
    <row r="97">
      <c r="A97" s="63" t="inlineStr">
        <is>
          <t>发行市盈率④：扣非前净利 ÷ 发行后总股本（公告书对外口径）</t>
        </is>
      </c>
      <c r="B97" s="63" t="inlineStr">
        <is>
          <t>倍</t>
        </is>
      </c>
      <c r="C97" s="79">
        <f>'02_发行上市原始数据'!B5/('03_财务原始数据'!E31/('02_发行上市原始数据'!B11))</f>
        <v/>
      </c>
      <c r="D97" s="79">
        <f>'02_发行上市原始数据'!B39</f>
        <v/>
      </c>
      <c r="E97" s="79">
        <f>C97-D97</f>
        <v/>
      </c>
      <c r="F97" s="63" t="inlineStr">
        <is>
          <t>A + E</t>
        </is>
      </c>
      <c r="G97" s="63" t="inlineStr">
        <is>
          <t>S2/S3</t>
        </is>
      </c>
      <c r="H97" s="67" t="inlineStr">
        <is>
          <t>发行价 ÷ (2025年归母净利润 ÷ 发行后总股本)。按“扣非前后孰低”原则，公告书以本口径219.23倍作为对外披露的发行市盈率</t>
        </is>
      </c>
      <c r="I97" s="67" t="inlineStr">
        <is>
          <t>该值为对外正式口径，引用时应以此为准</t>
        </is>
      </c>
    </row>
    <row r="98">
      <c r="A98" s="5" t="inlineStr">
        <is>
          <t>发行市销率①：营收 ÷ 发行前总股本</t>
        </is>
      </c>
      <c r="B98" s="5" t="inlineStr">
        <is>
          <t>倍</t>
        </is>
      </c>
      <c r="C98" s="74">
        <f>'02_发行上市原始数据'!B5/('03_财务原始数据'!E5/('02_发行上市原始数据'!B9))</f>
        <v/>
      </c>
      <c r="D98" s="74">
        <f>'02_发行上市原始数据'!B40</f>
        <v/>
      </c>
      <c r="E98" s="74">
        <f>C98-D98</f>
        <v/>
      </c>
      <c r="F98" s="5" t="inlineStr">
        <is>
          <t>A + E</t>
        </is>
      </c>
      <c r="G98" s="5" t="inlineStr">
        <is>
          <t>S2</t>
        </is>
      </c>
      <c r="H98" s="4" t="inlineStr">
        <is>
          <t>发行价 ÷ (2025年营业收入 ÷ 发行前总股本)</t>
        </is>
      </c>
      <c r="I98" s="4" t="inlineStr">
        <is>
          <t>差异应为0</t>
        </is>
      </c>
    </row>
    <row r="99">
      <c r="A99" s="5" t="inlineStr">
        <is>
          <t>发行市销率②：营收 ÷ 发行后总股本（摊薄后静态）</t>
        </is>
      </c>
      <c r="B99" s="5" t="inlineStr">
        <is>
          <t>倍</t>
        </is>
      </c>
      <c r="C99" s="74">
        <f>'02_发行上市原始数据'!B5/('03_财务原始数据'!E5/('02_发行上市原始数据'!B11))</f>
        <v/>
      </c>
      <c r="D99" s="74">
        <f>'02_发行上市原始数据'!B41</f>
        <v/>
      </c>
      <c r="E99" s="74">
        <f>C99-D99</f>
        <v/>
      </c>
      <c r="F99" s="5" t="inlineStr">
        <is>
          <t>A + E</t>
        </is>
      </c>
      <c r="G99" s="5" t="inlineStr">
        <is>
          <t>S2</t>
        </is>
      </c>
      <c r="H99" s="4" t="inlineStr">
        <is>
          <t>发行价 ÷ (2025年营业收入 ÷ 发行后总股本)；等价于发行后市值 ÷ 2025年营业收入</t>
        </is>
      </c>
      <c r="I99" s="4" t="inlineStr">
        <is>
          <t>差异应为0</t>
        </is>
      </c>
    </row>
    <row r="100">
      <c r="A100" s="5" t="inlineStr">
        <is>
          <t>发行后每股收益（扣非前后孰低）</t>
        </is>
      </c>
      <c r="B100" s="5" t="inlineStr">
        <is>
          <t>元/股</t>
        </is>
      </c>
      <c r="C100" s="12">
        <f>MIN('03_财务原始数据'!E31,'03_财务原始数据'!E32)*10000/('02_发行上市原始数据'!B10)</f>
        <v/>
      </c>
      <c r="D100" s="12">
        <f>'02_发行上市原始数据'!B43</f>
        <v/>
      </c>
      <c r="E100" s="12">
        <f>C100-D100</f>
        <v/>
      </c>
      <c r="F100" s="5" t="inlineStr">
        <is>
          <t>A + E</t>
        </is>
      </c>
      <c r="G100" s="5" t="inlineStr">
        <is>
          <t>S2</t>
        </is>
      </c>
      <c r="H100" s="4" t="inlineStr">
        <is>
          <t>MIN(2025年归母净利, 2025年扣非归母净利) ÷ 发行后总股本（股）</t>
        </is>
      </c>
      <c r="I100" s="4" t="inlineStr">
        <is>
          <t>差异应为0</t>
        </is>
      </c>
    </row>
    <row r="101">
      <c r="A101" s="5" t="inlineStr">
        <is>
          <t>发行后每股净资产</t>
        </is>
      </c>
      <c r="B101" s="5" t="inlineStr">
        <is>
          <t>元/股</t>
        </is>
      </c>
      <c r="C101" s="12">
        <f>('03_财务原始数据'!E42+'02_发行上市原始数据'!B33)*10000/('02_发行上市原始数据'!B10)</f>
        <v/>
      </c>
      <c r="D101" s="12">
        <f>'02_发行上市原始数据'!B44</f>
        <v/>
      </c>
      <c r="E101" s="12">
        <f>C101-D101</f>
        <v/>
      </c>
      <c r="F101" s="5" t="inlineStr">
        <is>
          <t>A + E</t>
        </is>
      </c>
      <c r="G101" s="5" t="inlineStr">
        <is>
          <t>S2</t>
        </is>
      </c>
      <c r="H101" s="4" t="inlineStr">
        <is>
          <t>(2025年末归母所有者权益 + 募集资金净额) ÷ 发行后总股本</t>
        </is>
      </c>
      <c r="I101" s="4" t="inlineStr">
        <is>
          <t>差异应为0</t>
        </is>
      </c>
    </row>
    <row r="102">
      <c r="A102" s="5" t="inlineStr">
        <is>
          <t>发行市净率</t>
        </is>
      </c>
      <c r="B102" s="5" t="inlineStr">
        <is>
          <t>倍</t>
        </is>
      </c>
      <c r="C102" s="74">
        <f>'02_发行上市原始数据'!B5/(('03_财务原始数据'!E42+'02_发行上市原始数据'!B33)*10000/('02_发行上市原始数据'!B10))</f>
        <v/>
      </c>
      <c r="D102" s="74">
        <f>'02_发行上市原始数据'!B42</f>
        <v/>
      </c>
      <c r="E102" s="74">
        <f>C102-D102</f>
        <v/>
      </c>
      <c r="F102" s="5" t="inlineStr">
        <is>
          <t>A + E</t>
        </is>
      </c>
      <c r="G102" s="5" t="inlineStr">
        <is>
          <t>S2</t>
        </is>
      </c>
      <c r="H102" s="4" t="inlineStr">
        <is>
          <t>发行价 ÷ 发行后每股净资产</t>
        </is>
      </c>
      <c r="I102" s="4" t="inlineStr">
        <is>
          <t>差异应为0</t>
        </is>
      </c>
    </row>
    <row r="103">
      <c r="A103" s="25" t="inlineStr">
        <is>
          <t>【相对估值参照】</t>
        </is>
      </c>
      <c r="B103" s="25" t="inlineStr"/>
      <c r="C103" s="25" t="inlineStr"/>
      <c r="D103" s="25" t="inlineStr"/>
      <c r="E103" s="25" t="inlineStr"/>
      <c r="F103" s="25" t="inlineStr"/>
      <c r="G103" s="25" t="inlineStr"/>
      <c r="H103" s="70" t="inlineStr"/>
      <c r="I103" s="25" t="inlineStr"/>
    </row>
    <row r="104">
      <c r="A104" s="22" t="inlineStr">
        <is>
          <t>发行市盈率④ ÷ 行业平均静态市盈率</t>
        </is>
      </c>
      <c r="B104" s="22" t="inlineStr">
        <is>
          <t>倍</t>
        </is>
      </c>
      <c r="C104" s="78">
        <f>'02_发行上市原始数据'!B39/'02_发行上市原始数据'!B47</f>
        <v/>
      </c>
      <c r="D104" s="77" t="n"/>
      <c r="E104" s="77" t="n"/>
      <c r="F104" s="22" t="inlineStr">
        <is>
          <t>A + E</t>
        </is>
      </c>
      <c r="G104" s="22" t="inlineStr">
        <is>
          <t>S2</t>
        </is>
      </c>
      <c r="H104" s="62" t="inlineStr">
        <is>
          <t>公司发行市盈率 ÷ 所属行业（C34通用设备制造业）最近一个月平均静态市盈率38.56倍</t>
        </is>
      </c>
      <c r="I104" s="62" t="inlineStr">
        <is>
          <t>测算约5.69倍，发行定价显著高于行业均值</t>
        </is>
      </c>
    </row>
    <row r="105">
      <c r="A105" s="22" t="inlineStr">
        <is>
          <t>发行市销率② ÷ 可比公司静态市销率均值</t>
        </is>
      </c>
      <c r="B105" s="22" t="inlineStr">
        <is>
          <t>倍</t>
        </is>
      </c>
      <c r="C105" s="78">
        <f>'02_发行上市原始数据'!B41/'02_发行上市原始数据'!B48</f>
        <v/>
      </c>
      <c r="D105" s="77" t="n"/>
      <c r="E105" s="77" t="n"/>
      <c r="F105" s="22" t="inlineStr">
        <is>
          <t>A + E</t>
        </is>
      </c>
      <c r="G105" s="22" t="inlineStr">
        <is>
          <t>S2</t>
        </is>
      </c>
      <c r="H105" s="62" t="inlineStr">
        <is>
          <t>公司发行市销率35.89倍 ÷ 可比公司（优必选、越疆）2025年静态市销率算术平均19.74倍</t>
        </is>
      </c>
      <c r="I105" s="62" t="inlineStr">
        <is>
          <t>测算约1.82倍，即较可比公司溢价约82%</t>
        </is>
      </c>
    </row>
    <row r="106">
      <c r="A106" s="25" t="inlineStr">
        <is>
          <t>【募集资金与超募测算】</t>
        </is>
      </c>
      <c r="B106" s="25" t="inlineStr"/>
      <c r="C106" s="25" t="inlineStr"/>
      <c r="D106" s="25" t="inlineStr"/>
      <c r="E106" s="25" t="inlineStr"/>
      <c r="F106" s="25" t="inlineStr"/>
      <c r="G106" s="25" t="inlineStr"/>
      <c r="H106" s="70" t="inlineStr"/>
      <c r="I106" s="25" t="inlineStr"/>
    </row>
    <row r="107">
      <c r="A107" s="5" t="inlineStr">
        <is>
          <t>募投项目拟使用募集资金合计</t>
        </is>
      </c>
      <c r="B107" s="5" t="inlineStr">
        <is>
          <t>万元</t>
        </is>
      </c>
      <c r="C107" s="12">
        <f>'06_股权与募投原始数据'!D85</f>
        <v/>
      </c>
      <c r="D107" s="52" t="n"/>
      <c r="E107" s="52" t="n"/>
      <c r="F107" s="5" t="inlineStr">
        <is>
          <t>A</t>
        </is>
      </c>
      <c r="G107" s="5" t="inlineStr">
        <is>
          <t>S1</t>
        </is>
      </c>
      <c r="H107" s="4" t="inlineStr">
        <is>
          <t>四个募投项目拟使用募集资金之和（表6-3合计行）</t>
        </is>
      </c>
      <c r="I107" s="4" t="inlineStr">
        <is>
          <t>420,171.12万元</t>
        </is>
      </c>
    </row>
    <row r="108">
      <c r="A108" s="54" t="inlineStr">
        <is>
          <t>超募金额（实际净募资 − 募投计划投入）</t>
        </is>
      </c>
      <c r="B108" s="54" t="inlineStr">
        <is>
          <t>万元</t>
        </is>
      </c>
      <c r="C108" s="68">
        <f>'02_发行上市原始数据'!B33-'06_股权与募投原始数据'!D85</f>
        <v/>
      </c>
      <c r="D108" s="55" t="n"/>
      <c r="E108" s="55" t="n"/>
      <c r="F108" s="54" t="inlineStr">
        <is>
          <t>A + E</t>
        </is>
      </c>
      <c r="G108" s="54" t="inlineStr">
        <is>
          <t>S2/S1</t>
        </is>
      </c>
      <c r="H108" s="57" t="inlineStr">
        <is>
          <t>募集资金净额591,714.92万元 − 募投项目拟使用募集资金合计420,171.12万元</t>
        </is>
      </c>
      <c r="I108" s="57" t="inlineStr">
        <is>
          <t>测算约171,543.80万元（17.15亿元）</t>
        </is>
      </c>
    </row>
    <row r="109">
      <c r="A109" s="54" t="inlineStr">
        <is>
          <t>超募比例（超募额 ÷ 募投计划投入）</t>
        </is>
      </c>
      <c r="B109" s="54" t="inlineStr">
        <is>
          <t>%</t>
        </is>
      </c>
      <c r="C109" s="56">
        <f>('02_发行上市原始数据'!B33-'06_股权与募投原始数据'!D85)/'06_股权与募投原始数据'!D85</f>
        <v/>
      </c>
      <c r="D109" s="58" t="n"/>
      <c r="E109" s="58" t="n"/>
      <c r="F109" s="54" t="inlineStr">
        <is>
          <t>A + E</t>
        </is>
      </c>
      <c r="G109" s="54" t="inlineStr">
        <is>
          <t>S2/S1</t>
        </is>
      </c>
      <c r="H109" s="57" t="inlineStr">
        <is>
          <t>超募金额 ÷ 募投项目拟使用募集资金合计</t>
        </is>
      </c>
      <c r="I109" s="57" t="inlineStr">
        <is>
          <t>测算约40.83%</t>
        </is>
      </c>
    </row>
    <row r="110">
      <c r="A110" s="5" t="inlineStr">
        <is>
          <t>发行费用率（发行费用 ÷ 募资总额）</t>
        </is>
      </c>
      <c r="B110" s="5" t="inlineStr">
        <is>
          <t>%</t>
        </is>
      </c>
      <c r="C110" s="14">
        <f>'06_股权与募投原始数据'!B95/'02_发行上市原始数据'!B26</f>
        <v/>
      </c>
      <c r="D110" s="53" t="n"/>
      <c r="E110" s="53" t="n"/>
      <c r="F110" s="5" t="inlineStr">
        <is>
          <t>A + E</t>
        </is>
      </c>
      <c r="G110" s="5" t="inlineStr">
        <is>
          <t>S2/S6</t>
        </is>
      </c>
      <c r="H110" s="4" t="inlineStr">
        <is>
          <t>发行费用合计 ÷ 募集资金总额</t>
        </is>
      </c>
      <c r="I110" s="4" t="inlineStr">
        <is>
          <t>测算约2.99%</t>
        </is>
      </c>
    </row>
    <row r="111">
      <c r="A111" s="5" t="inlineStr">
        <is>
          <t>承销及保荐费率</t>
        </is>
      </c>
      <c r="B111" s="5" t="inlineStr">
        <is>
          <t>%</t>
        </is>
      </c>
      <c r="C111" s="14">
        <f>'06_股权与募投原始数据'!B90/'02_发行上市原始数据'!B26</f>
        <v/>
      </c>
      <c r="D111" s="53" t="n"/>
      <c r="E111" s="53" t="n"/>
      <c r="F111" s="5" t="inlineStr">
        <is>
          <t>A + E</t>
        </is>
      </c>
      <c r="G111" s="5" t="inlineStr">
        <is>
          <t>S2/S6</t>
        </is>
      </c>
      <c r="H111" s="4" t="inlineStr">
        <is>
          <t>承销及保荐费14,499.32万元 ÷ 募集资金总额</t>
        </is>
      </c>
      <c r="I111" s="4" t="inlineStr">
        <is>
          <t>测算约2.38%</t>
        </is>
      </c>
    </row>
    <row r="112">
      <c r="A112" s="5" t="inlineStr">
        <is>
          <t>研发类募投项目占比（序号1+2+3）</t>
        </is>
      </c>
      <c r="B112" s="5" t="inlineStr">
        <is>
          <t>%</t>
        </is>
      </c>
      <c r="C112" s="14">
        <f>('06_股权与募投原始数据'!D81+'06_股权与募投原始数据'!D82+'06_股权与募投原始数据'!D83)/'06_股权与募投原始数据'!D85</f>
        <v/>
      </c>
      <c r="D112" s="53" t="n"/>
      <c r="E112" s="53" t="n"/>
      <c r="F112" s="5" t="inlineStr">
        <is>
          <t>A + E</t>
        </is>
      </c>
      <c r="G112" s="5" t="inlineStr">
        <is>
          <t>S1</t>
        </is>
      </c>
      <c r="H112" s="4" t="inlineStr">
        <is>
          <t>三个研发类项目拟使用募集资金 ÷ 募投合计</t>
        </is>
      </c>
      <c r="I112" s="4" t="inlineStr">
        <is>
          <t>测算约85.15%，与招股书披露一致</t>
        </is>
      </c>
    </row>
    <row r="113">
      <c r="A113" s="22" t="inlineStr">
        <is>
          <t>超募资金相当于2025年营业收入的倍数</t>
        </is>
      </c>
      <c r="B113" s="22" t="inlineStr">
        <is>
          <t>倍</t>
        </is>
      </c>
      <c r="C113" s="78">
        <f>('02_发行上市原始数据'!B33-'06_股权与募投原始数据'!D85)/'03_财务原始数据'!E5</f>
        <v/>
      </c>
      <c r="D113" s="77" t="n"/>
      <c r="E113" s="77" t="n"/>
      <c r="F113" s="22" t="inlineStr">
        <is>
          <t>A + E</t>
        </is>
      </c>
      <c r="G113" s="22" t="inlineStr">
        <is>
          <t>S1/S2</t>
        </is>
      </c>
      <c r="H113" s="62" t="inlineStr">
        <is>
          <t>超募金额 ÷ 2025年营业收入169,926.93万元</t>
        </is>
      </c>
      <c r="I113" s="62" t="inlineStr">
        <is>
          <t>测算约1.01倍，即超募资金规模与全年营收相当</t>
        </is>
      </c>
    </row>
    <row r="114" ht="39" customHeight="1">
      <c r="A114" s="9" t="inlineStr">
        <is>
          <t>估值与募资结论：按公告书孰低口径，本次发行市盈率219.23倍，为所属行业最近一个月平均静态市盈率38.56倍的约5.69倍；发行市销率35.89倍，较可比公司均值19.74倍溢价约82%。募集资金净额591,714.92万元较募投项目计划投入420,171.12万元超募约171,543.80万元（40.83%），超募资金体量与2025年全年营业收入（169,926.93万元）相当。招股说明书与上市公告书未对超募部分作出具体的项目化安排，其存放与使用（是否变更募投、是否补充流动资金）属于上市后需持续跟踪的治理事项。</t>
        </is>
      </c>
    </row>
    <row r="116" ht="20" customHeight="1">
      <c r="A116" s="3" t="inlineStr">
        <is>
          <t>表7-8　2026年1-6月：管理层预计（性质D）与已实现数（性质C）对比 —— 严禁混用</t>
        </is>
      </c>
    </row>
    <row r="117" ht="30" customHeight="1">
      <c r="A117" s="7" t="inlineStr">
        <is>
          <t>项目</t>
        </is>
      </c>
      <c r="B117" s="7" t="inlineStr">
        <is>
          <t>单位</t>
        </is>
      </c>
      <c r="C117" s="7" t="inlineStr">
        <is>
          <t>预计下限（性质D）</t>
        </is>
      </c>
      <c r="D117" s="7" t="inlineStr">
        <is>
          <t>预计上限（性质D）</t>
        </is>
      </c>
      <c r="E117" s="7" t="inlineStr">
        <is>
          <t>已实现数（性质C）</t>
        </is>
      </c>
      <c r="F117" s="7" t="inlineStr">
        <is>
          <t>实际 ÷ 下限 − 1</t>
        </is>
      </c>
      <c r="G117" s="7" t="inlineStr">
        <is>
          <t>实际 ÷ 上限 − 1</t>
        </is>
      </c>
      <c r="H117" s="7" t="inlineStr">
        <is>
          <t>是否超出预计区间</t>
        </is>
      </c>
      <c r="I117" s="7" t="inlineStr">
        <is>
          <t>结论表述规范</t>
        </is>
      </c>
    </row>
    <row r="118">
      <c r="A118" s="22" t="inlineStr">
        <is>
          <t>营业收入</t>
        </is>
      </c>
      <c r="B118" s="59" t="inlineStr">
        <is>
          <t>万元</t>
        </is>
      </c>
      <c r="C118" s="24">
        <f>'03_财务原始数据'!C112</f>
        <v/>
      </c>
      <c r="D118" s="24">
        <f>'03_财务原始数据'!D112</f>
        <v/>
      </c>
      <c r="E118" s="24">
        <f>'03_财务原始数据'!C88</f>
        <v/>
      </c>
      <c r="F118" s="60">
        <f>E118/C118-1</f>
        <v/>
      </c>
      <c r="G118" s="60">
        <f>E118/D118-1</f>
        <v/>
      </c>
      <c r="H118" s="80">
        <f>IF(E118&gt;D118,"超出上限",IF(E118&lt;C118,"低于下限","区间内"))</f>
        <v/>
      </c>
      <c r="I118" s="62" t="inlineStr">
        <is>
          <t>可以说“实际营业收入高于管理层预计上限约2.15%”；不可以说“公司完成了盈利预测”或“业绩超预期兑现”</t>
        </is>
      </c>
    </row>
    <row r="119">
      <c r="A119" s="22" t="inlineStr">
        <is>
          <t>归属于母公司所有者的净利润</t>
        </is>
      </c>
      <c r="B119" s="59" t="inlineStr">
        <is>
          <t>万元</t>
        </is>
      </c>
      <c r="C119" s="24">
        <f>'03_财务原始数据'!C113</f>
        <v/>
      </c>
      <c r="D119" s="24">
        <f>'03_财务原始数据'!D113</f>
        <v/>
      </c>
      <c r="E119" s="24">
        <f>'03_财务原始数据'!C91</f>
        <v/>
      </c>
      <c r="F119" s="60">
        <f>E119/C119-1</f>
        <v/>
      </c>
      <c r="G119" s="60">
        <f>E119/D119-1</f>
        <v/>
      </c>
      <c r="H119" s="80">
        <f>IF(E119&gt;D119,"超出上限",IF(E119&lt;C119,"低于下限","区间内"))</f>
        <v/>
      </c>
      <c r="I119" s="62" t="inlineStr">
        <is>
          <t>实际值落在预计区间内，可以说“与管理层预计区间基本一致”</t>
        </is>
      </c>
    </row>
    <row r="120">
      <c r="A120" s="22" t="inlineStr">
        <is>
          <t>扣非后归属于母公司所有者的净利润</t>
        </is>
      </c>
      <c r="B120" s="59" t="inlineStr">
        <is>
          <t>万元</t>
        </is>
      </c>
      <c r="C120" s="24">
        <f>'03_财务原始数据'!C114</f>
        <v/>
      </c>
      <c r="D120" s="24">
        <f>'03_财务原始数据'!D114</f>
        <v/>
      </c>
      <c r="E120" s="24">
        <f>'03_财务原始数据'!C92</f>
        <v/>
      </c>
      <c r="F120" s="60">
        <f>E120/C120-1</f>
        <v/>
      </c>
      <c r="G120" s="60">
        <f>E120/D120-1</f>
        <v/>
      </c>
      <c r="H120" s="80">
        <f>IF(E120&gt;D120,"超出上限",IF(E120&lt;C120,"低于下限","区间内"))</f>
        <v/>
      </c>
      <c r="I120" s="62" t="inlineStr">
        <is>
          <t>实际值落在预计区间内，可以说“与管理层预计区间基本一致”</t>
        </is>
      </c>
    </row>
    <row r="121">
      <c r="A121" s="5" t="inlineStr">
        <is>
          <t>【上年同期基数（2025年1-6月）】</t>
        </is>
      </c>
      <c r="B121" s="52" t="inlineStr">
        <is>
          <t>万元</t>
        </is>
      </c>
      <c r="C121" s="12">
        <f>'03_财务原始数据'!E112</f>
        <v/>
      </c>
      <c r="D121" s="12">
        <f>'03_财务原始数据'!E112</f>
        <v/>
      </c>
      <c r="E121" s="12">
        <f>'03_财务原始数据'!D88</f>
        <v/>
      </c>
      <c r="F121" s="53" t="inlineStr">
        <is>
          <t>—</t>
        </is>
      </c>
      <c r="G121" s="53" t="inlineStr">
        <is>
          <t>—</t>
        </is>
      </c>
      <c r="H121" s="4" t="inlineStr">
        <is>
          <t>—</t>
        </is>
      </c>
      <c r="I121" s="5" t="inlineStr">
        <is>
          <t>本行为比较基数，非预计数。2025年1-6月营业收入77,571.92万元</t>
        </is>
      </c>
    </row>
    <row r="122">
      <c r="A122" s="5" t="inlineStr">
        <is>
          <t>预计区间同比增速（性质D，非事实）</t>
        </is>
      </c>
      <c r="B122" s="52" t="inlineStr">
        <is>
          <t>%</t>
        </is>
      </c>
      <c r="C122" s="12">
        <f>'03_财务原始数据'!C112/'03_财务原始数据'!E112-1</f>
        <v/>
      </c>
      <c r="D122" s="12">
        <f>'03_财务原始数据'!D112/'03_财务原始数据'!E112-1</f>
        <v/>
      </c>
      <c r="E122" s="52" t="inlineStr">
        <is>
          <t>—</t>
        </is>
      </c>
      <c r="F122" s="53" t="inlineStr">
        <is>
          <t>—</t>
        </is>
      </c>
      <c r="G122" s="53" t="inlineStr">
        <is>
          <t>—</t>
        </is>
      </c>
      <c r="H122" s="4" t="inlineStr">
        <is>
          <t>—</t>
        </is>
      </c>
      <c r="I122" s="5" t="inlineStr">
        <is>
          <t>招股书披露的预计同比区间为+35.62%至+45.41%，本行为复算校验</t>
        </is>
      </c>
    </row>
    <row r="123">
      <c r="A123" s="54" t="inlineStr">
        <is>
          <t>已实现同比增速（性质C，未经审计）</t>
        </is>
      </c>
      <c r="B123" s="55" t="inlineStr">
        <is>
          <t>%</t>
        </is>
      </c>
      <c r="C123" s="55" t="inlineStr">
        <is>
          <t>—</t>
        </is>
      </c>
      <c r="D123" s="55" t="inlineStr">
        <is>
          <t>—</t>
        </is>
      </c>
      <c r="E123" s="68">
        <f>'03_财务原始数据'!C88/'03_财务原始数据'!D88-1</f>
        <v/>
      </c>
      <c r="F123" s="58" t="inlineStr">
        <is>
          <t>—</t>
        </is>
      </c>
      <c r="G123" s="58" t="inlineStr">
        <is>
          <t>—</t>
        </is>
      </c>
      <c r="H123" s="57" t="inlineStr">
        <is>
          <t>—</t>
        </is>
      </c>
      <c r="I123" s="54" t="inlineStr">
        <is>
          <t>实际同比+48.54%，高于预计区间上限（+45.41%）</t>
        </is>
      </c>
    </row>
    <row r="124" ht="26" customHeight="1">
      <c r="A124" s="8" t="inlineStr">
        <is>
          <t>招股说明书原文（必须随数据一并引用）：“上述2026年1-6月财务数据预计为管理层对经营状况的合理估计，不代表公司最终实现的营业收入及净利润，相关数据未经会计师审计或审阅，不构成公司的盈利预测或业绩承诺。”因此：①预计数（性质D）在本底稿中一律以橙色底纹标示，任何场合不得表述为“实现”“完成”“达到”；②上市公告书披露的2026年1-6月已实现数（性质C）虽为实际发生数，但未经审计，引用时必须注明；③二者对比只能表述为“实际数相对预计区间的偏离”，不得据此推断管理层预测能力或对未来业绩作外推。</t>
        </is>
      </c>
    </row>
    <row r="126" ht="20" customHeight="1">
      <c r="A126" s="3" t="inlineStr">
        <is>
          <t>表7-9　上市后二级市场表现与市值测算（行情数据来源S9，第三方；性质E·测算）</t>
        </is>
      </c>
    </row>
    <row r="127" ht="30" customHeight="1">
      <c r="A127" s="7" t="inlineStr">
        <is>
          <t>指标</t>
        </is>
      </c>
      <c r="B127" s="7" t="inlineStr">
        <is>
          <t>单位</t>
        </is>
      </c>
      <c r="C127" s="7" t="inlineStr">
        <is>
          <t>数值</t>
        </is>
      </c>
      <c r="D127" s="7" t="inlineStr">
        <is>
          <t>计算基准</t>
        </is>
      </c>
      <c r="E127" s="7" t="inlineStr">
        <is>
          <t>输入项性质</t>
        </is>
      </c>
      <c r="F127" s="7" t="inlineStr">
        <is>
          <t>来源</t>
        </is>
      </c>
      <c r="G127" s="7" t="inlineStr"/>
      <c r="H127" s="7" t="inlineStr">
        <is>
          <t>计算口径与公式说明</t>
        </is>
      </c>
      <c r="I127" s="7" t="inlineStr">
        <is>
          <t>备注</t>
        </is>
      </c>
    </row>
    <row r="128">
      <c r="A128" s="5" t="inlineStr">
        <is>
          <t>上市首日收盘价</t>
        </is>
      </c>
      <c r="B128" s="5" t="inlineStr">
        <is>
          <t>元/股</t>
        </is>
      </c>
      <c r="C128" s="16">
        <f>'02_发行上市原始数据'!C66</f>
        <v/>
      </c>
      <c r="D128" s="5" t="inlineStr">
        <is>
          <t>2026-08-19</t>
        </is>
      </c>
      <c r="E128" s="5" t="inlineStr">
        <is>
          <t>E</t>
        </is>
      </c>
      <c r="F128" s="5" t="inlineStr">
        <is>
          <t>S9</t>
        </is>
      </c>
      <c r="G128" s="5" t="inlineStr"/>
      <c r="H128" s="4" t="inlineStr">
        <is>
          <t>表2-2首个交易日收盘价</t>
        </is>
      </c>
      <c r="I128" s="4" t="inlineStr">
        <is>
          <t>845.00元</t>
        </is>
      </c>
    </row>
    <row r="129">
      <c r="A129" s="5" t="inlineStr">
        <is>
          <t>上市首日盘中最高价</t>
        </is>
      </c>
      <c r="B129" s="5" t="inlineStr">
        <is>
          <t>元/股</t>
        </is>
      </c>
      <c r="C129" s="16">
        <f>'02_发行上市原始数据'!D66</f>
        <v/>
      </c>
      <c r="D129" s="5" t="inlineStr">
        <is>
          <t>2026-08-19</t>
        </is>
      </c>
      <c r="E129" s="5" t="inlineStr">
        <is>
          <t>E</t>
        </is>
      </c>
      <c r="F129" s="5" t="inlineStr">
        <is>
          <t>S9</t>
        </is>
      </c>
      <c r="G129" s="5" t="inlineStr"/>
      <c r="H129" s="4" t="inlineStr">
        <is>
          <t>表2-2首个交易日最高价</t>
        </is>
      </c>
      <c r="I129" s="4" t="inlineStr">
        <is>
          <t>1,100.00元</t>
        </is>
      </c>
    </row>
    <row r="130">
      <c r="A130" s="5" t="inlineStr">
        <is>
          <t>资料截止日前最后收盘价</t>
        </is>
      </c>
      <c r="B130" s="5" t="inlineStr">
        <is>
          <t>元/股</t>
        </is>
      </c>
      <c r="C130" s="16">
        <f>'02_发行上市原始数据'!C73</f>
        <v/>
      </c>
      <c r="D130" s="5" t="inlineStr">
        <is>
          <t>2026-08-28</t>
        </is>
      </c>
      <c r="E130" s="5" t="inlineStr">
        <is>
          <t>E</t>
        </is>
      </c>
      <c r="F130" s="5" t="inlineStr">
        <is>
          <t>S9</t>
        </is>
      </c>
      <c r="G130" s="5" t="inlineStr"/>
      <c r="H130" s="4" t="inlineStr">
        <is>
          <t>表2-2最后一个交易日（2026-08-28）收盘价；2026-08-31数据超出资料截止日，已排除</t>
        </is>
      </c>
      <c r="I130" s="4" t="inlineStr">
        <is>
          <t>585.00元</t>
        </is>
      </c>
    </row>
    <row r="131">
      <c r="A131" s="5" t="inlineStr">
        <is>
          <t>上市首日涨幅（相对发行价）</t>
        </is>
      </c>
      <c r="B131" s="5" t="inlineStr">
        <is>
          <t>%</t>
        </is>
      </c>
      <c r="C131" s="14">
        <f>'02_发行上市原始数据'!C66/'02_发行上市原始数据'!B5-1</f>
        <v/>
      </c>
      <c r="D131" s="5" t="inlineStr">
        <is>
          <t>发行价150.80元</t>
        </is>
      </c>
      <c r="E131" s="5" t="inlineStr">
        <is>
          <t>A + E</t>
        </is>
      </c>
      <c r="F131" s="5" t="inlineStr">
        <is>
          <t>S2/S9</t>
        </is>
      </c>
      <c r="G131" s="5" t="inlineStr"/>
      <c r="H131" s="4" t="inlineStr">
        <is>
          <t>首日收盘价 ÷ 发行价 − 1</t>
        </is>
      </c>
      <c r="I131" s="4" t="inlineStr">
        <is>
          <t>披露涨跌幅+460.34%</t>
        </is>
      </c>
    </row>
    <row r="132">
      <c r="A132" s="5" t="inlineStr">
        <is>
          <t>2026-08-28收盘价相对发行价涨幅</t>
        </is>
      </c>
      <c r="B132" s="5" t="inlineStr">
        <is>
          <t>%</t>
        </is>
      </c>
      <c r="C132" s="14">
        <f>'02_发行上市原始数据'!C73/'02_发行上市原始数据'!B5-1</f>
        <v/>
      </c>
      <c r="D132" s="5" t="inlineStr">
        <is>
          <t>发行价150.80元</t>
        </is>
      </c>
      <c r="E132" s="5" t="inlineStr">
        <is>
          <t>A + E</t>
        </is>
      </c>
      <c r="F132" s="5" t="inlineStr">
        <is>
          <t>S2/S9</t>
        </is>
      </c>
      <c r="G132" s="5" t="inlineStr"/>
      <c r="H132" s="4" t="inlineStr">
        <is>
          <t>最后收盘价 ÷ 发行价 − 1</t>
        </is>
      </c>
      <c r="I132" s="4" t="inlineStr">
        <is>
          <t>上市后8个交易日仍高于发行价约2.88倍</t>
        </is>
      </c>
    </row>
    <row r="133">
      <c r="A133" s="22" t="inlineStr">
        <is>
          <t>2026-08-28收盘价相对首日收盘价跌幅</t>
        </is>
      </c>
      <c r="B133" s="22" t="inlineStr">
        <is>
          <t>%</t>
        </is>
      </c>
      <c r="C133" s="60">
        <f>'02_发行上市原始数据'!C73/'02_发行上市原始数据'!C66-1</f>
        <v/>
      </c>
      <c r="D133" s="22" t="inlineStr">
        <is>
          <t>首日收盘845.00元</t>
        </is>
      </c>
      <c r="E133" s="22" t="inlineStr">
        <is>
          <t>E</t>
        </is>
      </c>
      <c r="F133" s="22" t="inlineStr">
        <is>
          <t>S9</t>
        </is>
      </c>
      <c r="G133" s="22" t="inlineStr"/>
      <c r="H133" s="62" t="inlineStr">
        <is>
          <t>最后收盘价 ÷ 首日收盘价 − 1</t>
        </is>
      </c>
      <c r="I133" s="62" t="inlineStr">
        <is>
          <t>自首日收盘回落约30.77%</t>
        </is>
      </c>
    </row>
    <row r="134">
      <c r="A134" s="22" t="inlineStr">
        <is>
          <t>2026-08-28收盘价相对首日盘中最高价跌幅</t>
        </is>
      </c>
      <c r="B134" s="22" t="inlineStr">
        <is>
          <t>%</t>
        </is>
      </c>
      <c r="C134" s="60">
        <f>'02_发行上市原始数据'!C73/'02_发行上市原始数据'!D66-1</f>
        <v/>
      </c>
      <c r="D134" s="22" t="inlineStr">
        <is>
          <t>首日最高1,100.00元</t>
        </is>
      </c>
      <c r="E134" s="22" t="inlineStr">
        <is>
          <t>E</t>
        </is>
      </c>
      <c r="F134" s="22" t="inlineStr">
        <is>
          <t>S9</t>
        </is>
      </c>
      <c r="G134" s="22" t="inlineStr"/>
      <c r="H134" s="62" t="inlineStr">
        <is>
          <t>最后收盘价 ÷ 首日盘中最高价 − 1</t>
        </is>
      </c>
      <c r="I134" s="62" t="inlineStr">
        <is>
          <t>自盘中高点回落约46.82%</t>
        </is>
      </c>
    </row>
    <row r="135">
      <c r="A135" s="5" t="inlineStr">
        <is>
          <t>首日收盘总市值</t>
        </is>
      </c>
      <c r="B135" s="5" t="inlineStr">
        <is>
          <t>亿元</t>
        </is>
      </c>
      <c r="C135" s="12">
        <f>'02_发行上市原始数据'!C66*'02_发行上市原始数据'!B10/100000000</f>
        <v/>
      </c>
      <c r="D135" s="5" t="inlineStr">
        <is>
          <t>总股本404,464,340股</t>
        </is>
      </c>
      <c r="E135" s="5" t="inlineStr">
        <is>
          <t>A + E</t>
        </is>
      </c>
      <c r="F135" s="5" t="inlineStr">
        <is>
          <t>S2/S9</t>
        </is>
      </c>
      <c r="G135" s="5" t="inlineStr"/>
      <c r="H135" s="4" t="inlineStr">
        <is>
          <t>首日收盘价 × 发行后总股本 ÷ 100,000,000</t>
        </is>
      </c>
      <c r="I135" s="4" t="inlineStr">
        <is>
          <t>约3,417.72亿元</t>
        </is>
      </c>
    </row>
    <row r="136">
      <c r="A136" s="5" t="inlineStr">
        <is>
          <t>首日盘中最高市值</t>
        </is>
      </c>
      <c r="B136" s="5" t="inlineStr">
        <is>
          <t>亿元</t>
        </is>
      </c>
      <c r="C136" s="12">
        <f>'02_发行上市原始数据'!D66*'02_发行上市原始数据'!B10/100000000</f>
        <v/>
      </c>
      <c r="D136" s="5" t="inlineStr">
        <is>
          <t>总股本404,464,340股</t>
        </is>
      </c>
      <c r="E136" s="5" t="inlineStr">
        <is>
          <t>A + E</t>
        </is>
      </c>
      <c r="F136" s="5" t="inlineStr">
        <is>
          <t>S2/S9</t>
        </is>
      </c>
      <c r="G136" s="5" t="inlineStr"/>
      <c r="H136" s="4" t="inlineStr">
        <is>
          <t>首日最高价 × 发行后总股本 ÷ 100,000,000</t>
        </is>
      </c>
      <c r="I136" s="4" t="inlineStr">
        <is>
          <t>约4,449.11亿元</t>
        </is>
      </c>
    </row>
    <row r="137">
      <c r="A137" s="54" t="inlineStr">
        <is>
          <t>2026-08-28收盘总市值</t>
        </is>
      </c>
      <c r="B137" s="54" t="inlineStr">
        <is>
          <t>亿元</t>
        </is>
      </c>
      <c r="C137" s="68">
        <f>'02_发行上市原始数据'!C73*'02_发行上市原始数据'!B10/100000000</f>
        <v/>
      </c>
      <c r="D137" s="54" t="inlineStr">
        <is>
          <t>总股本404,464,340股</t>
        </is>
      </c>
      <c r="E137" s="54" t="inlineStr">
        <is>
          <t>A + E</t>
        </is>
      </c>
      <c r="F137" s="54" t="inlineStr">
        <is>
          <t>S2/S9</t>
        </is>
      </c>
      <c r="G137" s="54" t="inlineStr"/>
      <c r="H137" s="57" t="inlineStr">
        <is>
          <t>最后收盘价 × 发行后总股本 ÷ 100,000,000</t>
        </is>
      </c>
      <c r="I137" s="57" t="inlineStr">
        <is>
          <t>约2,366.12亿元</t>
        </is>
      </c>
    </row>
    <row r="138">
      <c r="A138" s="5" t="inlineStr">
        <is>
          <t>静态市销率（2026-08-28市值 ÷ 2025年营收）</t>
        </is>
      </c>
      <c r="B138" s="5" t="inlineStr">
        <is>
          <t>倍</t>
        </is>
      </c>
      <c r="C138" s="74">
        <f>('02_发行上市原始数据'!C73*'02_发行上市原始数据'!B10/10000)/'03_财务原始数据'!E5</f>
        <v/>
      </c>
      <c r="D138" s="5" t="inlineStr">
        <is>
          <t>2025年营收169,926.93万元</t>
        </is>
      </c>
      <c r="E138" s="5" t="inlineStr">
        <is>
          <t>A + E</t>
        </is>
      </c>
      <c r="F138" s="5" t="inlineStr">
        <is>
          <t>S2/S9/S3</t>
        </is>
      </c>
      <c r="G138" s="5" t="inlineStr"/>
      <c r="H138" s="4" t="inlineStr">
        <is>
          <t>收盘市值（万元）÷ 2025年营业收入（万元）</t>
        </is>
      </c>
      <c r="I138" s="4" t="inlineStr">
        <is>
          <t>约139.2倍，为发行市销率35.89倍的约3.9倍</t>
        </is>
      </c>
    </row>
    <row r="139">
      <c r="A139" s="22" t="inlineStr">
        <is>
          <t>静态市盈率（2026-08-28市值 ÷ 2025年归母净利）</t>
        </is>
      </c>
      <c r="B139" s="22" t="inlineStr">
        <is>
          <t>倍</t>
        </is>
      </c>
      <c r="C139" s="78">
        <f>('02_发行上市原始数据'!C73*'02_发行上市原始数据'!B10/10000)/'03_财务原始数据'!E31</f>
        <v/>
      </c>
      <c r="D139" s="22" t="inlineStr">
        <is>
          <t>2025年归母净利27,821.05万元</t>
        </is>
      </c>
      <c r="E139" s="22" t="inlineStr">
        <is>
          <t>A + E</t>
        </is>
      </c>
      <c r="F139" s="22" t="inlineStr">
        <is>
          <t>S2/S9/S3</t>
        </is>
      </c>
      <c r="G139" s="22" t="inlineStr"/>
      <c r="H139" s="62" t="inlineStr">
        <is>
          <t>收盘市值（万元）÷ 2025年归母净利润（万元）</t>
        </is>
      </c>
      <c r="I139" s="62" t="inlineStr">
        <is>
          <t>约850倍</t>
        </is>
      </c>
    </row>
    <row r="140">
      <c r="A140" s="22" t="inlineStr">
        <is>
          <t>静态市盈率（2026-08-28市值 ÷ 2025年扣非归母净利）</t>
        </is>
      </c>
      <c r="B140" s="22" t="inlineStr">
        <is>
          <t>倍</t>
        </is>
      </c>
      <c r="C140" s="78">
        <f>('02_发行上市原始数据'!C73*'02_发行上市原始数据'!B10/10000)/'03_财务原始数据'!E32</f>
        <v/>
      </c>
      <c r="D140" s="22" t="inlineStr">
        <is>
          <t>2025年扣非归母净利59,075.28万元</t>
        </is>
      </c>
      <c r="E140" s="22" t="inlineStr">
        <is>
          <t>A + E</t>
        </is>
      </c>
      <c r="F140" s="22" t="inlineStr">
        <is>
          <t>S2/S9/S3</t>
        </is>
      </c>
      <c r="G140" s="22" t="inlineStr"/>
      <c r="H140" s="62" t="inlineStr">
        <is>
          <t>收盘市值（万元）÷ 2025年扣非后归母净利润（万元）</t>
        </is>
      </c>
      <c r="I140" s="62" t="inlineStr">
        <is>
          <t>约401倍，仍远高于行业均值38.56倍</t>
        </is>
      </c>
    </row>
    <row r="141">
      <c r="A141" s="22" t="inlineStr">
        <is>
          <t>2026年上半年营业收入简单年化值</t>
        </is>
      </c>
      <c r="B141" s="22" t="inlineStr">
        <is>
          <t>万元</t>
        </is>
      </c>
      <c r="C141" s="24">
        <f>'03_财务原始数据'!C88*2</f>
        <v/>
      </c>
      <c r="D141" s="22" t="inlineStr">
        <is>
          <t>2026H1营收 × 2</t>
        </is>
      </c>
      <c r="E141" s="22" t="inlineStr">
        <is>
          <t>C + E</t>
        </is>
      </c>
      <c r="F141" s="22" t="inlineStr">
        <is>
          <t>S2</t>
        </is>
      </c>
      <c r="G141" s="22" t="inlineStr"/>
      <c r="H141" s="62" t="inlineStr">
        <is>
          <t>【测算·非预测】仅为“上半年数×2”的机械年化，未考虑公司第四季度收入占比偏高（2025年Q4占31.12%）的季节性，亦不构成对2026年全年业绩的预测或估计</t>
        </is>
      </c>
      <c r="I141" s="62" t="inlineStr">
        <is>
          <t>严禁表述为“预计2026年营收”</t>
        </is>
      </c>
    </row>
    <row r="142">
      <c r="A142" s="22" t="inlineStr">
        <is>
          <t>按简单年化营收测算的动态市销率</t>
        </is>
      </c>
      <c r="B142" s="22" t="inlineStr">
        <is>
          <t>倍</t>
        </is>
      </c>
      <c r="C142" s="78">
        <f>('02_发行上市原始数据'!C73*'02_发行上市原始数据'!B10/10000)/('03_财务原始数据'!C88*2)</f>
        <v/>
      </c>
      <c r="D142" s="22" t="inlineStr">
        <is>
          <t>简单年化营收</t>
        </is>
      </c>
      <c r="E142" s="22" t="inlineStr">
        <is>
          <t>C + E</t>
        </is>
      </c>
      <c r="F142" s="22" t="inlineStr">
        <is>
          <t>S2/S9</t>
        </is>
      </c>
      <c r="G142" s="22" t="inlineStr"/>
      <c r="H142" s="62" t="inlineStr">
        <is>
          <t>收盘市值（万元）÷ 简单年化营收（万元）。该指标依赖机械年化假设，敏感性极高，仅供内部参考</t>
        </is>
      </c>
      <c r="I142" s="62" t="inlineStr">
        <is>
          <t>约103倍</t>
        </is>
      </c>
    </row>
    <row r="143">
      <c r="A143" s="5" t="inlineStr">
        <is>
          <t>上市后累计成交额</t>
        </is>
      </c>
      <c r="B143" s="5" t="inlineStr">
        <is>
          <t>亿元</t>
        </is>
      </c>
      <c r="C143" s="12">
        <f>SUM('02_发行上市原始数据'!G66:G73)/100000000</f>
        <v/>
      </c>
      <c r="D143" s="5" t="inlineStr">
        <is>
          <t>8个交易日合计</t>
        </is>
      </c>
      <c r="E143" s="5" t="inlineStr">
        <is>
          <t>E</t>
        </is>
      </c>
      <c r="F143" s="5" t="inlineStr">
        <is>
          <t>S9</t>
        </is>
      </c>
      <c r="G143" s="5" t="inlineStr"/>
      <c r="H143" s="4" t="inlineStr">
        <is>
          <t>表2-2成交额列求和 ÷ 100,000,000</t>
        </is>
      </c>
      <c r="I143" s="4" t="inlineStr">
        <is>
          <t>约561.13亿元</t>
        </is>
      </c>
    </row>
    <row r="144">
      <c r="A144" s="5" t="inlineStr">
        <is>
          <t>上市后日均成交额</t>
        </is>
      </c>
      <c r="B144" s="5" t="inlineStr">
        <is>
          <t>亿元</t>
        </is>
      </c>
      <c r="C144" s="12">
        <f>AVERAGE('02_发行上市原始数据'!G66:G73)/100000000</f>
        <v/>
      </c>
      <c r="D144" s="5" t="inlineStr">
        <is>
          <t>8个交易日均值</t>
        </is>
      </c>
      <c r="E144" s="5" t="inlineStr">
        <is>
          <t>E</t>
        </is>
      </c>
      <c r="F144" s="5" t="inlineStr">
        <is>
          <t>S9</t>
        </is>
      </c>
      <c r="G144" s="5" t="inlineStr"/>
      <c r="H144" s="4" t="inlineStr">
        <is>
          <t>表2-2成交额列求平均 ÷ 100,000,000</t>
        </is>
      </c>
      <c r="I144" s="4" t="inlineStr">
        <is>
          <t>约70.14亿元</t>
        </is>
      </c>
    </row>
    <row r="145">
      <c r="A145" s="5" t="inlineStr">
        <is>
          <t>上市后日均换手率</t>
        </is>
      </c>
      <c r="B145" s="5" t="inlineStr">
        <is>
          <t>%</t>
        </is>
      </c>
      <c r="C145" s="14">
        <f>AVERAGE('02_发行上市原始数据'!K66:K73)</f>
        <v/>
      </c>
      <c r="D145" s="5" t="inlineStr">
        <is>
          <t>8个交易日均值</t>
        </is>
      </c>
      <c r="E145" s="5" t="inlineStr">
        <is>
          <t>E</t>
        </is>
      </c>
      <c r="F145" s="5" t="inlineStr">
        <is>
          <t>S9</t>
        </is>
      </c>
      <c r="G145" s="5" t="inlineStr"/>
      <c r="H145" s="4" t="inlineStr">
        <is>
          <t>表2-2换手率列求平均；首日85.28%为极值，剔除首日后显著下降</t>
        </is>
      </c>
      <c r="I145" s="4" t="inlineStr">
        <is>
          <t>约31.84%</t>
        </is>
      </c>
    </row>
    <row r="146">
      <c r="A146" s="22" t="inlineStr">
        <is>
          <t>上市首日无限售条件流通股（测算）</t>
        </is>
      </c>
      <c r="B146" s="22" t="inlineStr">
        <is>
          <t>股</t>
        </is>
      </c>
      <c r="C146" s="81">
        <f>'02_发行上市原始数据'!B6-'02_发行上市原始数据'!B15-'02_发行上市原始数据'!B17*0.1</f>
        <v/>
      </c>
      <c r="D146" s="22" t="inlineStr">
        <is>
          <t>发行量−战配−网下10%限售</t>
        </is>
      </c>
      <c r="E146" s="22" t="inlineStr">
        <is>
          <t>A + E</t>
        </is>
      </c>
      <c r="F146" s="22" t="inlineStr">
        <is>
          <t>S2/S9</t>
        </is>
      </c>
      <c r="G146" s="22" t="inlineStr"/>
      <c r="H146" s="62" t="inlineStr">
        <is>
          <t>发行股票数量 − 战略配售数量 − 网下最终发行数量×10%（科创板网下配售数量的10%锁定6个月）</t>
        </is>
      </c>
      <c r="I146" s="62" t="inlineStr">
        <is>
          <t>约30,092,133股；该推断需以《上市公告书》股本结构表原文核验（见表10）</t>
        </is>
      </c>
    </row>
    <row r="147">
      <c r="A147" s="37" t="inlineStr">
        <is>
          <t>首日换手率校验（首日成交量 ÷ 测算无限售流通股）</t>
        </is>
      </c>
      <c r="B147" s="37" t="inlineStr">
        <is>
          <t>%</t>
        </is>
      </c>
      <c r="C147" s="82">
        <f>('02_发行上市原始数据'!F66*100)/('02_发行上市原始数据'!B6-'02_发行上市原始数据'!B15-'02_发行上市原始数据'!B17*0.1)</f>
        <v/>
      </c>
      <c r="D147" s="37" t="inlineStr">
        <is>
          <t>首日成交量256,579手</t>
        </is>
      </c>
      <c r="E147" s="37" t="inlineStr">
        <is>
          <t>A + E</t>
        </is>
      </c>
      <c r="F147" s="37" t="inlineStr">
        <is>
          <t>S2/S9</t>
        </is>
      </c>
      <c r="G147" s="37" t="inlineStr"/>
      <c r="H147" s="73" t="inlineStr">
        <is>
          <t>首日成交量（手）× 100 ÷ 上一行测算的无限售流通股数量</t>
        </is>
      </c>
      <c r="I147" s="73" t="inlineStr">
        <is>
          <t>测算约85.26%，与披露的85.28%基本吻合，反向验证了“网下10%限售6个月”的推断</t>
        </is>
      </c>
    </row>
    <row r="148" ht="26" customHeight="1">
      <c r="A148" s="8" t="inlineStr">
        <is>
          <t>行情数据重要声明：表2-2及本表全部价格、成交量、成交额、换手率数据来自第三方行情接口（来源S9），不属于发行人或上海证券交易所的法定信息披露内容，性质标记为E。凡引用市值、市盈率、市销率的市场口径测算，必须注明行情时点与数据来源，不得与公司披露的发行估值倍数（表7-7）混用。另需注意：资料截止日为2026-08-30，2026-08-31及之后的行情与公告（包括2026-09-03披露的公司章程、变更注册资本公告）均未纳入本底稿。</t>
        </is>
      </c>
    </row>
    <row r="150" ht="20" customHeight="1">
      <c r="A150" s="3" t="inlineStr">
        <is>
          <t>表7-10　同行业可比公司对标（数据取自招股说明书同业对比表，性质A）</t>
        </is>
      </c>
    </row>
    <row r="151" ht="30" customHeight="1">
      <c r="A151" s="7" t="inlineStr">
        <is>
          <t>公司</t>
        </is>
      </c>
      <c r="B151" s="7" t="inlineStr">
        <is>
          <t>2025营业收入(万元)</t>
        </is>
      </c>
      <c r="C151" s="7" t="inlineStr">
        <is>
          <t>宇树营收 ÷ 该公司营收</t>
        </is>
      </c>
      <c r="D151" s="7" t="inlineStr">
        <is>
          <t>2025毛利率</t>
        </is>
      </c>
      <c r="E151" s="7" t="inlineStr">
        <is>
          <t>毛利率 − 宇树(百分点)</t>
        </is>
      </c>
      <c r="F151" s="7" t="inlineStr">
        <is>
          <t>2023→2025营收CAGR</t>
        </is>
      </c>
      <c r="G151" s="7" t="inlineStr">
        <is>
          <t>2025人形机器人收入占比（招股书披露）</t>
        </is>
      </c>
      <c r="H151" s="7" t="inlineStr">
        <is>
          <t>计算口径与公式说明</t>
        </is>
      </c>
      <c r="I151" s="7" t="inlineStr">
        <is>
          <t>来源</t>
        </is>
      </c>
    </row>
    <row r="152">
      <c r="A152" s="5" t="inlineStr">
        <is>
          <t>优必选</t>
        </is>
      </c>
      <c r="B152" s="12">
        <f>'05_客户与同业原始数据'!F25</f>
        <v/>
      </c>
      <c r="C152" s="74">
        <f>'05_客户与同业原始数据'!F30/'05_客户与同业原始数据'!F25</f>
        <v/>
      </c>
      <c r="D152" s="14">
        <f>'05_客户与同业原始数据'!G25</f>
        <v/>
      </c>
      <c r="E152" s="12">
        <f>('05_客户与同业原始数据'!G25-'05_客户与同业原始数据'!G30)*100</f>
        <v/>
      </c>
      <c r="F152" s="14">
        <f>('05_客户与同业原始数据'!F25/'05_客户与同业原始数据'!B25)^(1/2)-1</f>
        <v/>
      </c>
      <c r="G152" s="4" t="inlineStr">
        <is>
          <t>41.1%（由上年2.7%大幅上升）</t>
        </is>
      </c>
      <c r="H152" s="4" t="inlineStr">
        <is>
          <t>营收与毛利率直接引用表5-2；CAGR = (2025营收 ÷ 2023营收)^(1/2) − 1</t>
        </is>
      </c>
      <c r="I152" s="5" t="inlineStr">
        <is>
          <t>S1</t>
        </is>
      </c>
    </row>
    <row r="153">
      <c r="A153" s="5" t="inlineStr">
        <is>
          <t>越疆</t>
        </is>
      </c>
      <c r="B153" s="12">
        <f>'05_客户与同业原始数据'!F26</f>
        <v/>
      </c>
      <c r="C153" s="74">
        <f>'05_客户与同业原始数据'!F30/'05_客户与同业原始数据'!F26</f>
        <v/>
      </c>
      <c r="D153" s="14">
        <f>'05_客户与同业原始数据'!G26</f>
        <v/>
      </c>
      <c r="E153" s="12">
        <f>('05_客户与同业原始数据'!G26-'05_客户与同业原始数据'!G30)*100</f>
        <v/>
      </c>
      <c r="F153" s="14">
        <f>('05_客户与同业原始数据'!F26/'05_客户与同业原始数据'!B26)^(1/2)-1</f>
        <v/>
      </c>
      <c r="G153" s="4" t="inlineStr">
        <is>
          <t>未超过5%</t>
        </is>
      </c>
      <c r="H153" s="4" t="inlineStr">
        <is>
          <t>营收与毛利率直接引用表5-2；CAGR = (2025营收 ÷ 2023营收)^(1/2) − 1</t>
        </is>
      </c>
      <c r="I153" s="5" t="inlineStr">
        <is>
          <t>S1</t>
        </is>
      </c>
    </row>
    <row r="154">
      <c r="A154" s="5" t="inlineStr">
        <is>
          <t>云深处</t>
        </is>
      </c>
      <c r="B154" s="12">
        <f>'05_客户与同业原始数据'!F27</f>
        <v/>
      </c>
      <c r="C154" s="74">
        <f>'05_客户与同业原始数据'!F30/'05_客户与同业原始数据'!F27</f>
        <v/>
      </c>
      <c r="D154" s="14">
        <f>'05_客户与同业原始数据'!G27</f>
        <v/>
      </c>
      <c r="E154" s="12">
        <f>('05_客户与同业原始数据'!G27-'05_客户与同业原始数据'!G30)*100</f>
        <v/>
      </c>
      <c r="F154" s="14">
        <f>('05_客户与同业原始数据'!F27/'05_客户与同业原始数据'!B27)^(1/2)-1</f>
        <v/>
      </c>
      <c r="G154" s="4" t="inlineStr">
        <is>
          <t>未超过5%</t>
        </is>
      </c>
      <c r="H154" s="4" t="inlineStr">
        <is>
          <t>营收与毛利率直接引用表5-2；CAGR = (2025营收 ÷ 2023营收)^(1/2) − 1</t>
        </is>
      </c>
      <c r="I154" s="5" t="inlineStr">
        <is>
          <t>S1</t>
        </is>
      </c>
    </row>
    <row r="155">
      <c r="A155" s="5" t="inlineStr">
        <is>
          <t>乐聚智能</t>
        </is>
      </c>
      <c r="B155" s="12">
        <f>'05_客户与同业原始数据'!F28</f>
        <v/>
      </c>
      <c r="C155" s="74">
        <f>'05_客户与同业原始数据'!F30/'05_客户与同业原始数据'!F28</f>
        <v/>
      </c>
      <c r="D155" s="14">
        <f>'05_客户与同业原始数据'!G28</f>
        <v/>
      </c>
      <c r="E155" s="12">
        <f>('05_客户与同业原始数据'!G28-'05_客户与同业原始数据'!G30)*100</f>
        <v/>
      </c>
      <c r="F155" s="14">
        <f>('05_客户与同业原始数据'!F28/'05_客户与同业原始数据'!B28)^(1/2)-1</f>
        <v/>
      </c>
      <c r="G155" s="4" t="inlineStr">
        <is>
          <t>全尺寸人形机器人成为主要收入来源（未披露具体比例）</t>
        </is>
      </c>
      <c r="H155" s="4" t="inlineStr">
        <is>
          <t>营收与毛利率直接引用表5-2；CAGR = (2025营收 ÷ 2023营收)^(1/2) − 1</t>
        </is>
      </c>
      <c r="I155" s="5" t="inlineStr">
        <is>
          <t>S1</t>
        </is>
      </c>
    </row>
    <row r="156">
      <c r="A156" s="25" t="inlineStr">
        <is>
          <t>可比公司平均值</t>
        </is>
      </c>
      <c r="B156" s="26">
        <f>'05_客户与同业原始数据'!F29</f>
        <v/>
      </c>
      <c r="C156" s="83">
        <f>'05_客户与同业原始数据'!F30/'05_客户与同业原始数据'!F29</f>
        <v/>
      </c>
      <c r="D156" s="27">
        <f>'05_客户与同业原始数据'!G29</f>
        <v/>
      </c>
      <c r="E156" s="26">
        <f>('05_客户与同业原始数据'!G29-'05_客户与同业原始数据'!G30)*100</f>
        <v/>
      </c>
      <c r="F156" s="27">
        <f>('05_客户与同业原始数据'!F29/'05_客户与同业原始数据'!B29)^(1/2)-1</f>
        <v/>
      </c>
      <c r="G156" s="70" t="inlineStr">
        <is>
          <t>—</t>
        </is>
      </c>
      <c r="H156" s="70" t="inlineStr">
        <is>
          <t>营收与毛利率直接引用表5-2；CAGR = (2025营收 ÷ 2023营收)^(1/2) − 1</t>
        </is>
      </c>
      <c r="I156" s="25" t="inlineStr">
        <is>
          <t>S1</t>
        </is>
      </c>
    </row>
    <row r="157">
      <c r="A157" s="54" t="inlineStr">
        <is>
          <t>宇树科技（公司）</t>
        </is>
      </c>
      <c r="B157" s="68">
        <f>'05_客户与同业原始数据'!F30</f>
        <v/>
      </c>
      <c r="C157" s="75" t="n">
        <v>1</v>
      </c>
      <c r="D157" s="56">
        <f>'05_客户与同业原始数据'!G30</f>
        <v/>
      </c>
      <c r="E157" s="68" t="n">
        <v>0</v>
      </c>
      <c r="F157" s="56">
        <f>('05_客户与同业原始数据'!F30/'05_客户与同业原始数据'!B30)^(1/2)-1</f>
        <v/>
      </c>
      <c r="G157" s="57" t="inlineStr">
        <is>
          <t>51.78%（人形机器人占主营业务收入比例，表4-1口径）</t>
        </is>
      </c>
      <c r="H157" s="57" t="inlineStr">
        <is>
          <t>CAGR约226.78%，与招股书披露的科创属性指标一致</t>
        </is>
      </c>
      <c r="I157" s="54" t="inlineStr">
        <is>
          <t>S1</t>
        </is>
      </c>
    </row>
    <row r="158">
      <c r="A158" s="22" t="inlineStr">
        <is>
          <t>发行市销率 vs 可比公司均值</t>
        </is>
      </c>
      <c r="B158" s="77" t="inlineStr">
        <is>
          <t>倍</t>
        </is>
      </c>
      <c r="C158" s="78">
        <f>'02_发行上市原始数据'!B41</f>
        <v/>
      </c>
      <c r="D158" s="78">
        <f>'02_发行上市原始数据'!B48</f>
        <v/>
      </c>
      <c r="E158" s="24">
        <f>('02_发行上市原始数据'!B41/'02_发行上市原始数据'!B48-1)*100</f>
        <v/>
      </c>
      <c r="F158" s="22" t="inlineStr">
        <is>
          <t>—</t>
        </is>
      </c>
      <c r="G158" s="62" t="inlineStr">
        <is>
          <t>第3列=公司发行市销率；第4列=可比公司均值；第5列=溢价百分点</t>
        </is>
      </c>
      <c r="H158" s="62" t="inlineStr">
        <is>
          <t>公司发行市销率35.89倍，可比公司（优必选、越疆）均值19.74倍</t>
        </is>
      </c>
      <c r="I158" s="22" t="inlineStr">
        <is>
          <t>S2</t>
        </is>
      </c>
    </row>
    <row r="159" ht="39" customHeight="1">
      <c r="A159" s="9" t="inlineStr">
        <is>
          <t>同业对标结论：①规模——2025年宇树营业收入169,926.93万元，为可比公司平均值（77,254.01万元）的2.20倍，但低于优必选（200,099.90万元），在四家可比公司中排名第二；②盈利能力——综合毛利率60.44%，高出可比公司平均值（44.44%）16.00个百分点，且为唯一连续三年毛利率上升并持续高于均值的公司；③成长性——2023→2025年营收CAGR约226.78%，显著高于云深处（约159.51%）、乐聚智能（约118.68%）、优必选（约37.67%）、越疆（约31.13%）；④估值——发行市销率较可比公司均值溢价约82%，招股说明书以“可比上市公司均未盈利”为由选择市销率而非市盈率作为对比指标，这一指标选择本身降低了对盈利质量的定价约束，属于估值分析中需要独立判断的方法论问题。</t>
        </is>
      </c>
    </row>
    <row r="161" ht="20" customHeight="1">
      <c r="A161" s="3" t="inlineStr">
        <is>
          <t>表7-11　股权结构、控制权与战略配售测算（性质A / E）</t>
        </is>
      </c>
    </row>
    <row r="162" ht="30" customHeight="1">
      <c r="A162" s="7" t="inlineStr">
        <is>
          <t>指标</t>
        </is>
      </c>
      <c r="B162" s="7" t="inlineStr">
        <is>
          <t>单位</t>
        </is>
      </c>
      <c r="C162" s="7" t="inlineStr">
        <is>
          <t>发行前</t>
        </is>
      </c>
      <c r="D162" s="7" t="inlineStr">
        <is>
          <t>发行后</t>
        </is>
      </c>
      <c r="E162" s="7" t="inlineStr">
        <is>
          <t>变动(百分点或万股)</t>
        </is>
      </c>
      <c r="F162" s="7" t="inlineStr">
        <is>
          <t>输入项性质</t>
        </is>
      </c>
      <c r="G162" s="7" t="inlineStr">
        <is>
          <t>来源</t>
        </is>
      </c>
      <c r="H162" s="7" t="inlineStr">
        <is>
          <t>计算口径与公式说明</t>
        </is>
      </c>
      <c r="I162" s="7" t="inlineStr">
        <is>
          <t>备注</t>
        </is>
      </c>
    </row>
    <row r="163">
      <c r="A163" s="5" t="inlineStr">
        <is>
          <t>王兴兴直接持股比例</t>
        </is>
      </c>
      <c r="B163" s="52" t="inlineStr">
        <is>
          <t>%</t>
        </is>
      </c>
      <c r="C163" s="35">
        <f>'06_股权与募投原始数据'!D3</f>
        <v/>
      </c>
      <c r="D163" s="35">
        <f>'06_股权与募投原始数据'!F3</f>
        <v/>
      </c>
      <c r="E163" s="12">
        <f>(D163-C163)*100</f>
        <v/>
      </c>
      <c r="F163" s="5" t="inlineStr">
        <is>
          <t>A</t>
        </is>
      </c>
      <c r="G163" s="5" t="inlineStr">
        <is>
          <t>S1</t>
        </is>
      </c>
      <c r="H163" s="4" t="inlineStr">
        <is>
          <t>直接引用表6-1股本结构表；变动列为两期持股比例差（百分点）</t>
        </is>
      </c>
      <c r="I163" s="4" t="inlineStr">
        <is>
          <t>控股股东、实际控制人，直接持股8,671.4964万股不变</t>
        </is>
      </c>
    </row>
    <row r="164">
      <c r="A164" s="22" t="inlineStr">
        <is>
          <t>上海宇翼（员工持股平台）持股比例</t>
        </is>
      </c>
      <c r="B164" s="59" t="inlineStr">
        <is>
          <t>%</t>
        </is>
      </c>
      <c r="C164" s="84">
        <f>'06_股权与募投原始数据'!D4</f>
        <v/>
      </c>
      <c r="D164" s="84">
        <f>'06_股权与募投原始数据'!F4</f>
        <v/>
      </c>
      <c r="E164" s="24">
        <f>(D164-C164)*100</f>
        <v/>
      </c>
      <c r="F164" s="22" t="inlineStr">
        <is>
          <t>A</t>
        </is>
      </c>
      <c r="G164" s="22" t="inlineStr">
        <is>
          <t>S1</t>
        </is>
      </c>
      <c r="H164" s="62" t="inlineStr">
        <is>
          <t>直接引用表6-1股本结构表；变动列为两期持股比例差（百分点）</t>
        </is>
      </c>
      <c r="I164" s="62" t="inlineStr">
        <is>
          <t>2022年1月与2025年6月先后两次增资；2025年6月增资是34,906.55万元股份支付费用的直接来源</t>
        </is>
      </c>
    </row>
    <row r="165">
      <c r="A165" s="5" t="inlineStr">
        <is>
          <t>汉海信息持股比例</t>
        </is>
      </c>
      <c r="B165" s="52" t="inlineStr">
        <is>
          <t>%</t>
        </is>
      </c>
      <c r="C165" s="35">
        <f>'06_股权与募投原始数据'!D5</f>
        <v/>
      </c>
      <c r="D165" s="35">
        <f>'06_股权与募投原始数据'!F5</f>
        <v/>
      </c>
      <c r="E165" s="12">
        <f>(D165-C165)*100</f>
        <v/>
      </c>
      <c r="F165" s="5" t="inlineStr">
        <is>
          <t>A</t>
        </is>
      </c>
      <c r="G165" s="5" t="inlineStr">
        <is>
          <t>S1</t>
        </is>
      </c>
      <c r="H165" s="4" t="inlineStr">
        <is>
          <t>直接引用表6-1股本结构表；变动列为两期持股比例差（百分点）</t>
        </is>
      </c>
      <c r="I165" s="4" t="inlineStr">
        <is>
          <t>第三大股东</t>
        </is>
      </c>
    </row>
    <row r="166">
      <c r="A166" s="5" t="inlineStr">
        <is>
          <t>宁波红杉持股比例</t>
        </is>
      </c>
      <c r="B166" s="52" t="inlineStr">
        <is>
          <t>%</t>
        </is>
      </c>
      <c r="C166" s="35">
        <f>'06_股权与募投原始数据'!D6</f>
        <v/>
      </c>
      <c r="D166" s="35">
        <f>'06_股权与募投原始数据'!F6</f>
        <v/>
      </c>
      <c r="E166" s="12">
        <f>(D166-C166)*100</f>
        <v/>
      </c>
      <c r="F166" s="5" t="inlineStr">
        <is>
          <t>A</t>
        </is>
      </c>
      <c r="G166" s="5" t="inlineStr">
        <is>
          <t>S1</t>
        </is>
      </c>
      <c r="H166" s="4" t="inlineStr">
        <is>
          <t>直接引用表6-1股本结构表；变动列为两期持股比例差（百分点）</t>
        </is>
      </c>
      <c r="I166" s="4" t="inlineStr">
        <is>
          <t>第四大股东</t>
        </is>
      </c>
    </row>
    <row r="167">
      <c r="A167" s="5" t="inlineStr">
        <is>
          <t>本次公开发行股份占总股本比例</t>
        </is>
      </c>
      <c r="B167" s="52" t="inlineStr">
        <is>
          <t>%</t>
        </is>
      </c>
      <c r="C167" s="85" t="inlineStr">
        <is>
          <t>—</t>
        </is>
      </c>
      <c r="D167" s="35">
        <f>'06_股权与募投原始数据'!F49</f>
        <v/>
      </c>
      <c r="E167" s="52" t="inlineStr">
        <is>
          <t>—</t>
        </is>
      </c>
      <c r="F167" s="5" t="inlineStr">
        <is>
          <t>A</t>
        </is>
      </c>
      <c r="G167" s="5" t="inlineStr">
        <is>
          <t>S1</t>
        </is>
      </c>
      <c r="H167" s="4" t="inlineStr">
        <is>
          <t>4,044.6434万股 ÷ 40,446.4340万股</t>
        </is>
      </c>
      <c r="I167" s="4" t="inlineStr">
        <is>
          <t>发行比例10.00%，处于科创板常规下限</t>
        </is>
      </c>
    </row>
    <row r="168">
      <c r="A168" s="5" t="inlineStr">
        <is>
          <t>总股本</t>
        </is>
      </c>
      <c r="B168" s="52" t="inlineStr">
        <is>
          <t>万股</t>
        </is>
      </c>
      <c r="C168" s="34">
        <f>'06_股权与募投原始数据'!C50</f>
        <v/>
      </c>
      <c r="D168" s="34">
        <f>'06_股权与募投原始数据'!E50</f>
        <v/>
      </c>
      <c r="E168" s="34">
        <f>'06_股权与募投原始数据'!E50-'06_股权与募投原始数据'!C50</f>
        <v/>
      </c>
      <c r="F168" s="5" t="inlineStr">
        <is>
          <t>A</t>
        </is>
      </c>
      <c r="G168" s="5" t="inlineStr">
        <is>
          <t>S1/S2</t>
        </is>
      </c>
      <c r="H168" s="4" t="inlineStr">
        <is>
          <t>发行前36,401.7906万股 → 发行后40,446.4340万股</t>
        </is>
      </c>
      <c r="I168" s="4" t="inlineStr">
        <is>
          <t>新增4,044.6434万股</t>
        </is>
      </c>
    </row>
    <row r="169">
      <c r="A169" s="5" t="inlineStr">
        <is>
          <t>战略配售获配股数占本次发行比例</t>
        </is>
      </c>
      <c r="B169" s="52" t="inlineStr">
        <is>
          <t>%</t>
        </is>
      </c>
      <c r="C169" s="5" t="inlineStr">
        <is>
          <t>—</t>
        </is>
      </c>
      <c r="D169" s="14">
        <f>'06_股权与募投原始数据'!E76</f>
        <v/>
      </c>
      <c r="E169" s="5" t="inlineStr">
        <is>
          <t>—</t>
        </is>
      </c>
      <c r="F169" s="5" t="inlineStr">
        <is>
          <t>A</t>
        </is>
      </c>
      <c r="G169" s="5" t="inlineStr">
        <is>
          <t>S2</t>
        </is>
      </c>
      <c r="H169" s="4" t="inlineStr">
        <is>
          <t>8,089,286股 ÷ 40,446,434股</t>
        </is>
      </c>
      <c r="I169" s="4" t="inlineStr">
        <is>
          <t>20.00%</t>
        </is>
      </c>
    </row>
    <row r="170">
      <c r="A170" s="5" t="inlineStr">
        <is>
          <t>员工资管计划合计获配股数</t>
        </is>
      </c>
      <c r="B170" s="86" t="inlineStr">
        <is>
          <t>股</t>
        </is>
      </c>
      <c r="C170" s="5" t="inlineStr">
        <is>
          <t>—</t>
        </is>
      </c>
      <c r="D170" s="13">
        <f>'06_股权与募投原始数据'!D74+'06_股权与募投原始数据'!D75</f>
        <v/>
      </c>
      <c r="E170" s="5" t="inlineStr">
        <is>
          <t>—</t>
        </is>
      </c>
      <c r="F170" s="5" t="inlineStr">
        <is>
          <t>A</t>
        </is>
      </c>
      <c r="G170" s="5" t="inlineStr">
        <is>
          <t>S2</t>
        </is>
      </c>
      <c r="H170" s="4" t="inlineStr">
        <is>
          <t>员工1号（1,356,100股）+ 员工2号（444,297股）</t>
        </is>
      </c>
      <c r="I170" s="4" t="inlineStr">
        <is>
          <t>合计1,800,397股</t>
        </is>
      </c>
    </row>
    <row r="171">
      <c r="A171" s="5" t="inlineStr">
        <is>
          <t>员工资管计划合计占本次发行比例</t>
        </is>
      </c>
      <c r="B171" s="52" t="inlineStr">
        <is>
          <t>%</t>
        </is>
      </c>
      <c r="C171" s="5" t="inlineStr">
        <is>
          <t>—</t>
        </is>
      </c>
      <c r="D171" s="14">
        <f>('06_股权与募投原始数据'!D74+'06_股权与募投原始数据'!D75)/'02_发行上市原始数据'!B6</f>
        <v/>
      </c>
      <c r="E171" s="5" t="inlineStr">
        <is>
          <t>—</t>
        </is>
      </c>
      <c r="F171" s="5" t="inlineStr">
        <is>
          <t>A + E</t>
        </is>
      </c>
      <c r="G171" s="5" t="inlineStr">
        <is>
          <t>S2</t>
        </is>
      </c>
      <c r="H171" s="4" t="inlineStr">
        <is>
          <t>员工资管计划合计获配股数 ÷ 发行股票数量</t>
        </is>
      </c>
      <c r="I171" s="4" t="inlineStr">
        <is>
          <t>约4.45%；1号计划159名核心员工、2号计划12名高管及核心员工</t>
        </is>
      </c>
    </row>
    <row r="172">
      <c r="A172" s="5" t="inlineStr">
        <is>
          <t>员工资管计划合计获配金额</t>
        </is>
      </c>
      <c r="B172" s="86" t="inlineStr">
        <is>
          <t>元</t>
        </is>
      </c>
      <c r="C172" s="5" t="inlineStr">
        <is>
          <t>—</t>
        </is>
      </c>
      <c r="D172" s="13">
        <f>'06_股权与募投原始数据'!F74+'06_股权与募投原始数据'!F75</f>
        <v/>
      </c>
      <c r="E172" s="5" t="inlineStr">
        <is>
          <t>—</t>
        </is>
      </c>
      <c r="F172" s="5" t="inlineStr">
        <is>
          <t>A</t>
        </is>
      </c>
      <c r="G172" s="5" t="inlineStr">
        <is>
          <t>S2</t>
        </is>
      </c>
      <c r="H172" s="4" t="inlineStr">
        <is>
          <t>1号204,499,880.00元 + 2号66,999,987.60元</t>
        </is>
      </c>
      <c r="I172" s="4" t="inlineStr">
        <is>
          <t>约2.71亿元</t>
        </is>
      </c>
    </row>
    <row r="173">
      <c r="A173" s="5" t="inlineStr">
        <is>
          <t>保荐人跟投（中证投资）获配金额</t>
        </is>
      </c>
      <c r="B173" s="86" t="inlineStr">
        <is>
          <t>元</t>
        </is>
      </c>
      <c r="C173" s="5" t="inlineStr">
        <is>
          <t>—</t>
        </is>
      </c>
      <c r="D173" s="13">
        <f>'06_股权与募投原始数据'!F73</f>
        <v/>
      </c>
      <c r="E173" s="5" t="inlineStr">
        <is>
          <t>—</t>
        </is>
      </c>
      <c r="F173" s="5" t="inlineStr">
        <is>
          <t>A</t>
        </is>
      </c>
      <c r="G173" s="5" t="inlineStr">
        <is>
          <t>S2</t>
        </is>
      </c>
      <c r="H173" s="4" t="inlineStr">
        <is>
          <t>发行规模50亿元以上，跟投比例2%，获配808,928股</t>
        </is>
      </c>
      <c r="I173" s="4" t="inlineStr">
        <is>
          <t>限售期24个月</t>
        </is>
      </c>
    </row>
    <row r="174">
      <c r="A174" s="5" t="inlineStr">
        <is>
          <t>长期战略投资者（杭州深度求索）获配金额</t>
        </is>
      </c>
      <c r="B174" s="86" t="inlineStr">
        <is>
          <t>元</t>
        </is>
      </c>
      <c r="C174" s="5" t="inlineStr">
        <is>
          <t>—</t>
        </is>
      </c>
      <c r="D174" s="13">
        <f>'06_股权与募投原始数据'!F68</f>
        <v/>
      </c>
      <c r="E174" s="5" t="inlineStr">
        <is>
          <t>—</t>
        </is>
      </c>
      <c r="F174" s="5" t="inlineStr">
        <is>
          <t>A</t>
        </is>
      </c>
      <c r="G174" s="5" t="inlineStr">
        <is>
          <t>S2</t>
        </is>
      </c>
      <c r="H174" s="4" t="inlineStr">
        <is>
          <t>杭州深度求索人工智能基础技术研究有限公司获配933,399股</t>
        </is>
      </c>
      <c r="I174" s="4" t="inlineStr">
        <is>
          <t>限售期36个月，为战配中最长</t>
        </is>
      </c>
    </row>
    <row r="175">
      <c r="A175" s="5" t="inlineStr">
        <is>
          <t>全国社保基金理事会获配金额</t>
        </is>
      </c>
      <c r="B175" s="86" t="inlineStr">
        <is>
          <t>元</t>
        </is>
      </c>
      <c r="C175" s="5" t="inlineStr">
        <is>
          <t>—</t>
        </is>
      </c>
      <c r="D175" s="13">
        <f>'06_股权与募投原始数据'!F64</f>
        <v/>
      </c>
      <c r="E175" s="5" t="inlineStr">
        <is>
          <t>—</t>
        </is>
      </c>
      <c r="F175" s="5" t="inlineStr">
        <is>
          <t>A</t>
        </is>
      </c>
      <c r="G175" s="5" t="inlineStr">
        <is>
          <t>S2</t>
        </is>
      </c>
      <c r="H175" s="4" t="inlineStr">
        <is>
          <t>获配933,402股（含六零一、五零二、一零九三个组合）</t>
        </is>
      </c>
      <c r="I175" s="4" t="inlineStr">
        <is>
          <t>限售期12个月</t>
        </is>
      </c>
    </row>
    <row r="176">
      <c r="A176" s="54" t="inlineStr">
        <is>
          <t>特别表决权下实际控制人合计控制表决权</t>
        </is>
      </c>
      <c r="B176" s="55" t="inlineStr">
        <is>
          <t>%</t>
        </is>
      </c>
      <c r="C176" s="87" t="inlineStr">
        <is>
          <t>68.7816%（发行前）</t>
        </is>
      </c>
      <c r="D176" s="87" t="inlineStr">
        <is>
          <t>65.3090%（发行后）</t>
        </is>
      </c>
      <c r="E176" s="55" t="inlineStr">
        <is>
          <t>−3.47个百分点</t>
        </is>
      </c>
      <c r="F176" s="54" t="inlineStr">
        <is>
          <t>A</t>
        </is>
      </c>
      <c r="G176" s="54" t="inlineStr">
        <is>
          <t>S1</t>
        </is>
      </c>
      <c r="H176" s="57" t="inlineStr">
        <is>
          <t>王兴兴直接持股表决权 + 通过杭州天则控制的上海宇翼表决权；特别表决权安排设置于2025年5月16日</t>
        </is>
      </c>
      <c r="I176" s="57" t="inlineStr">
        <is>
          <t>本次发行不会导致实际控制人变更</t>
        </is>
      </c>
    </row>
    <row r="177">
      <c r="A177" s="5" t="inlineStr">
        <is>
          <t>前十大股东合计持股占发行前总股本比例</t>
        </is>
      </c>
      <c r="B177" s="52" t="inlineStr">
        <is>
          <t>%</t>
        </is>
      </c>
      <c r="C177" s="85" t="inlineStr">
        <is>
          <t>71.5041%</t>
        </is>
      </c>
      <c r="D177" s="85" t="inlineStr">
        <is>
          <t>—</t>
        </is>
      </c>
      <c r="E177" s="52" t="inlineStr">
        <is>
          <t>—</t>
        </is>
      </c>
      <c r="F177" s="5" t="inlineStr">
        <is>
          <t>A</t>
        </is>
      </c>
      <c r="G177" s="5" t="inlineStr">
        <is>
          <t>S1</t>
        </is>
      </c>
      <c r="H177" s="4" t="inlineStr">
        <is>
          <t>发行前前十名股东合计26,028.7524万股 ÷ 36,401.7906万股</t>
        </is>
      </c>
      <c r="I177" s="4" t="inlineStr">
        <is>
          <t>股权集中度较高</t>
        </is>
      </c>
    </row>
    <row r="178" ht="39" customHeight="1">
      <c r="A178" s="9" t="inlineStr">
        <is>
          <t>治理结构提示：公司适用《上海证券交易所科创板股票上市规则》第2.1.4条第（一）款“预计市值不低于人民币100亿元”标准上市，且存在特别表决权安排。实际控制人王兴兴发行后合计控制65.3090%的表决权，公众股东在股东大会层面的制衡能力有限，这是评估公司治理风险时必须纳入的结构性因素。此外，2025年6月上海宇翼增资同时构成了（1）34,906.55万元股份支付费用的会计来源，与（2）最近一次市场化融资投前估值120亿元/投后估值127亿元的定价锚点，两者应结合理解：股份支付费用规模本质上反映了该次增资价格与公允价值之间的差额。</t>
        </is>
      </c>
    </row>
  </sheetData>
  <mergeCells count="23">
    <mergeCell ref="A75:I75"/>
    <mergeCell ref="A56:I56"/>
    <mergeCell ref="A3:I3"/>
    <mergeCell ref="A86:I86"/>
    <mergeCell ref="A2:I2"/>
    <mergeCell ref="A47:I47"/>
    <mergeCell ref="A116:I116"/>
    <mergeCell ref="A17:I17"/>
    <mergeCell ref="A150:I150"/>
    <mergeCell ref="A126:I126"/>
    <mergeCell ref="A159:I159"/>
    <mergeCell ref="A38:I38"/>
    <mergeCell ref="A161:I161"/>
    <mergeCell ref="A58:I58"/>
    <mergeCell ref="A114:I114"/>
    <mergeCell ref="A15:I15"/>
    <mergeCell ref="A148:I148"/>
    <mergeCell ref="A73:I73"/>
    <mergeCell ref="A178:I178"/>
    <mergeCell ref="A1:I1"/>
    <mergeCell ref="A45:I45"/>
    <mergeCell ref="A88:I88"/>
    <mergeCell ref="A124:I124"/>
  </mergeCells>
  <pageMargins left="0.75" right="0.75" top="1" bottom="1" header="0.5" footer="0.5"/>
</worksheet>
</file>

<file path=xl/worksheets/sheet9.xml><?xml version="1.0" encoding="utf-8"?>
<worksheet xmlns="http://schemas.openxmlformats.org/spreadsheetml/2006/main">
  <sheetPr>
    <tabColor rgb="00C55A11"/>
    <outlinePr summaryBelow="1" summaryRight="1"/>
    <pageSetUpPr/>
  </sheetPr>
  <dimension ref="A1:H465"/>
  <sheetViews>
    <sheetView showGridLines="0" workbookViewId="0">
      <selection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44" customWidth="1" min="8" max="8"/>
  </cols>
  <sheetData>
    <row r="1" ht="26" customHeight="1">
      <c r="A1" s="1" t="inlineStr">
        <is>
          <t>趋势图表（图表数据区全部为公式，实时引用『03 / 04 / 05 / 02』表；修改原始数据后图表自动更新）</t>
        </is>
      </c>
    </row>
    <row r="2" ht="26" customHeight="1">
      <c r="A2" s="9" t="inlineStr">
        <is>
          <t>使用方式：下方“图表数据区”（A–H列）是全部19张图表的唯一数据源，均为公式引用，不含硬编码数值，可直接编辑、替换或增删行。图表本体自数据区之后排列。在 Excel 中调整图表类型、配色或坐标轴时直接选中图表操作即可，不会影响公式区。</t>
        </is>
      </c>
    </row>
    <row r="3" ht="20" customHeight="1">
      <c r="A3" s="3" t="inlineStr">
        <is>
          <t>图表数据区 1：年度营业收入、净利润、非经常性损益与经营现金流（单位：万元，性质A）</t>
        </is>
      </c>
    </row>
    <row r="4" ht="30" customHeight="1">
      <c r="A4" s="7" t="inlineStr">
        <is>
          <t>报告期</t>
        </is>
      </c>
      <c r="B4" s="7" t="inlineStr">
        <is>
          <t>营业收入</t>
        </is>
      </c>
      <c r="C4" s="7" t="inlineStr">
        <is>
          <t>营业收入同比</t>
        </is>
      </c>
      <c r="D4" s="7" t="inlineStr">
        <is>
          <t>归母净利润</t>
        </is>
      </c>
      <c r="E4" s="7" t="inlineStr">
        <is>
          <t>扣非归母净利润</t>
        </is>
      </c>
      <c r="F4" s="7" t="inlineStr">
        <is>
          <t>非经常性损益净额</t>
        </is>
      </c>
      <c r="G4" s="7" t="inlineStr">
        <is>
          <t>经营活动现金流净额</t>
        </is>
      </c>
      <c r="H4" s="7" t="inlineStr">
        <is>
          <t>口径说明</t>
        </is>
      </c>
    </row>
    <row r="5">
      <c r="A5" s="5" t="inlineStr">
        <is>
          <t>2023年度</t>
        </is>
      </c>
      <c r="B5" s="12">
        <f>'03_财务原始数据'!C5</f>
        <v/>
      </c>
      <c r="C5" s="53" t="inlineStr">
        <is>
          <t>—</t>
        </is>
      </c>
      <c r="D5" s="12">
        <f>'03_财务原始数据'!C31</f>
        <v/>
      </c>
      <c r="E5" s="12">
        <f>'03_财务原始数据'!C32</f>
        <v/>
      </c>
      <c r="F5" s="12">
        <f>'03_财务原始数据'!C31-'03_财务原始数据'!C32</f>
        <v/>
      </c>
      <c r="G5" s="12">
        <f>'03_财务原始数据'!C37</f>
        <v/>
      </c>
      <c r="H5" s="4" t="inlineStr">
        <is>
          <t>性质A（经审计）</t>
        </is>
      </c>
    </row>
    <row r="6">
      <c r="A6" s="5" t="inlineStr">
        <is>
          <t>2024年度</t>
        </is>
      </c>
      <c r="B6" s="12">
        <f>'03_财务原始数据'!D5</f>
        <v/>
      </c>
      <c r="C6" s="14">
        <f>'03_财务原始数据'!D5/'03_财务原始数据'!C5-1</f>
        <v/>
      </c>
      <c r="D6" s="12">
        <f>'03_财务原始数据'!D31</f>
        <v/>
      </c>
      <c r="E6" s="12">
        <f>'03_财务原始数据'!D32</f>
        <v/>
      </c>
      <c r="F6" s="12">
        <f>'03_财务原始数据'!D31-'03_财务原始数据'!D32</f>
        <v/>
      </c>
      <c r="G6" s="12">
        <f>'03_财务原始数据'!D37</f>
        <v/>
      </c>
      <c r="H6" s="4" t="inlineStr">
        <is>
          <t>性质A（经审计）</t>
        </is>
      </c>
    </row>
    <row r="7">
      <c r="A7" s="5" t="inlineStr">
        <is>
          <t>2025年度</t>
        </is>
      </c>
      <c r="B7" s="12">
        <f>'03_财务原始数据'!E5</f>
        <v/>
      </c>
      <c r="C7" s="14">
        <f>'03_财务原始数据'!E5/'03_财务原始数据'!D5-1</f>
        <v/>
      </c>
      <c r="D7" s="12">
        <f>'03_财务原始数据'!E31</f>
        <v/>
      </c>
      <c r="E7" s="12">
        <f>'03_财务原始数据'!E32</f>
        <v/>
      </c>
      <c r="F7" s="12">
        <f>'03_财务原始数据'!E31-'03_财务原始数据'!E32</f>
        <v/>
      </c>
      <c r="G7" s="12">
        <f>'03_财务原始数据'!E37</f>
        <v/>
      </c>
      <c r="H7" s="4" t="inlineStr">
        <is>
          <t>性质A（经审计）</t>
        </is>
      </c>
    </row>
    <row r="9" ht="20" customHeight="1">
      <c r="A9" s="3" t="inlineStr">
        <is>
          <t>图表数据区 2：盈利能力与费用率趋势（性质A；剔除股份支付列为性质E·测算）</t>
        </is>
      </c>
    </row>
    <row r="10" ht="30" customHeight="1">
      <c r="A10" s="7" t="inlineStr">
        <is>
          <t>报告期</t>
        </is>
      </c>
      <c r="B10" s="7" t="inlineStr">
        <is>
          <t>综合毛利率</t>
        </is>
      </c>
      <c r="C10" s="7" t="inlineStr">
        <is>
          <t>扣非归母净利率</t>
        </is>
      </c>
      <c r="D10" s="7" t="inlineStr">
        <is>
          <t>销售费用率</t>
        </is>
      </c>
      <c r="E10" s="7" t="inlineStr">
        <is>
          <t>管理费用率</t>
        </is>
      </c>
      <c r="F10" s="7" t="inlineStr">
        <is>
          <t>管理费用率(剔除股份支付)</t>
        </is>
      </c>
      <c r="G10" s="7" t="inlineStr">
        <is>
          <t>研发费用率</t>
        </is>
      </c>
      <c r="H10" s="7" t="inlineStr">
        <is>
          <t>口径说明</t>
        </is>
      </c>
    </row>
    <row r="11">
      <c r="A11" s="5" t="inlineStr">
        <is>
          <t>2023年度</t>
        </is>
      </c>
      <c r="B11" s="14">
        <f>'03_财务原始数据'!C51</f>
        <v/>
      </c>
      <c r="C11" s="14">
        <f>'03_财务原始数据'!C32/'03_财务原始数据'!C5</f>
        <v/>
      </c>
      <c r="D11" s="14">
        <f>'03_财务原始数据'!C13/'03_财务原始数据'!C5</f>
        <v/>
      </c>
      <c r="E11" s="14">
        <f>'03_财务原始数据'!C14/'03_财务原始数据'!C5</f>
        <v/>
      </c>
      <c r="F11" s="14">
        <f>('03_财务原始数据'!C14-IF('03_财务原始数据'!C34="",0,'03_财务原始数据'!C34))/'03_财务原始数据'!C5</f>
        <v/>
      </c>
      <c r="G11" s="14">
        <f>'03_财务原始数据'!C15/'03_财务原始数据'!C5</f>
        <v/>
      </c>
      <c r="H11" s="4" t="inlineStr">
        <is>
          <t>剔除股份支付列 = (管理费用 − 股份支付费用) ÷ 营业收入，性质E·测算</t>
        </is>
      </c>
    </row>
    <row r="12">
      <c r="A12" s="5" t="inlineStr">
        <is>
          <t>2024年度</t>
        </is>
      </c>
      <c r="B12" s="14">
        <f>'03_财务原始数据'!D51</f>
        <v/>
      </c>
      <c r="C12" s="14">
        <f>'03_财务原始数据'!D32/'03_财务原始数据'!D5</f>
        <v/>
      </c>
      <c r="D12" s="14">
        <f>'03_财务原始数据'!D13/'03_财务原始数据'!D5</f>
        <v/>
      </c>
      <c r="E12" s="14">
        <f>'03_财务原始数据'!D14/'03_财务原始数据'!D5</f>
        <v/>
      </c>
      <c r="F12" s="14">
        <f>('03_财务原始数据'!D14-IF('03_财务原始数据'!D34="",0,'03_财务原始数据'!D34))/'03_财务原始数据'!D5</f>
        <v/>
      </c>
      <c r="G12" s="14">
        <f>'03_财务原始数据'!D15/'03_财务原始数据'!D5</f>
        <v/>
      </c>
      <c r="H12" s="4" t="inlineStr">
        <is>
          <t>剔除股份支付列 = (管理费用 − 股份支付费用) ÷ 营业收入，性质E·测算</t>
        </is>
      </c>
    </row>
    <row r="13">
      <c r="A13" s="5" t="inlineStr">
        <is>
          <t>2025年度</t>
        </is>
      </c>
      <c r="B13" s="14">
        <f>'03_财务原始数据'!E51</f>
        <v/>
      </c>
      <c r="C13" s="14">
        <f>'03_财务原始数据'!E32/'03_财务原始数据'!E5</f>
        <v/>
      </c>
      <c r="D13" s="14">
        <f>'03_财务原始数据'!E13/'03_财务原始数据'!E5</f>
        <v/>
      </c>
      <c r="E13" s="14">
        <f>'03_财务原始数据'!E14/'03_财务原始数据'!E5</f>
        <v/>
      </c>
      <c r="F13" s="14">
        <f>('03_财务原始数据'!E14-IF('03_财务原始数据'!E34="",0,'03_财务原始数据'!E34))/'03_财务原始数据'!E5</f>
        <v/>
      </c>
      <c r="G13" s="14">
        <f>'03_财务原始数据'!E15/'03_财务原始数据'!E5</f>
        <v/>
      </c>
      <c r="H13" s="4" t="inlineStr">
        <is>
          <t>剔除股份支付列 = (管理费用 − 股份支付费用) ÷ 营业收入，性质E·测算</t>
        </is>
      </c>
    </row>
    <row r="15" ht="20" customHeight="1">
      <c r="A15" s="3" t="inlineStr">
        <is>
          <t>图表数据区 3：主营业务收入产品构成（万元，性质A）</t>
        </is>
      </c>
    </row>
    <row r="16" ht="30" customHeight="1">
      <c r="A16" s="7" t="inlineStr">
        <is>
          <t>产品分类</t>
        </is>
      </c>
      <c r="B16" s="7" t="inlineStr">
        <is>
          <t>2023收入</t>
        </is>
      </c>
      <c r="C16" s="7" t="inlineStr">
        <is>
          <t>2024收入</t>
        </is>
      </c>
      <c r="D16" s="7" t="inlineStr">
        <is>
          <t>2025收入</t>
        </is>
      </c>
      <c r="E16" s="7" t="inlineStr">
        <is>
          <t>2025收入占比</t>
        </is>
      </c>
      <c r="F16" s="7" t="inlineStr">
        <is>
          <t>2023→2025增长倍数</t>
        </is>
      </c>
      <c r="G16" s="7" t="inlineStr"/>
      <c r="H16" s="7" t="inlineStr">
        <is>
          <t>口径说明</t>
        </is>
      </c>
    </row>
    <row r="17">
      <c r="A17" s="5" t="inlineStr">
        <is>
          <t>四足机器人</t>
        </is>
      </c>
      <c r="B17" s="12">
        <f>'04_业务结构原始数据'!B3</f>
        <v/>
      </c>
      <c r="C17" s="12">
        <f>'04_业务结构原始数据'!D3</f>
        <v/>
      </c>
      <c r="D17" s="12">
        <f>'04_业务结构原始数据'!F3</f>
        <v/>
      </c>
      <c r="E17" s="14">
        <f>'04_业务结构原始数据'!F3/'04_业务结构原始数据'!F7</f>
        <v/>
      </c>
      <c r="F17" s="74">
        <f>'04_业务结构原始数据'!F3/'04_业务结构原始数据'!B3-1</f>
        <v/>
      </c>
      <c r="G17" s="5" t="inlineStr"/>
      <c r="H17" s="4" t="inlineStr">
        <is>
          <t>性质A</t>
        </is>
      </c>
    </row>
    <row r="18">
      <c r="A18" s="5" t="inlineStr">
        <is>
          <t>人形机器人</t>
        </is>
      </c>
      <c r="B18" s="12">
        <f>'04_业务结构原始数据'!B4</f>
        <v/>
      </c>
      <c r="C18" s="12">
        <f>'04_业务结构原始数据'!D4</f>
        <v/>
      </c>
      <c r="D18" s="12">
        <f>'04_业务结构原始数据'!F4</f>
        <v/>
      </c>
      <c r="E18" s="14">
        <f>'04_业务结构原始数据'!F4/'04_业务结构原始数据'!F7</f>
        <v/>
      </c>
      <c r="F18" s="74">
        <f>'04_业务结构原始数据'!F4/'04_业务结构原始数据'!B4-1</f>
        <v/>
      </c>
      <c r="G18" s="5" t="inlineStr"/>
      <c r="H18" s="4" t="inlineStr">
        <is>
          <t>性质A</t>
        </is>
      </c>
    </row>
    <row r="19">
      <c r="A19" s="5" t="inlineStr">
        <is>
          <t>机器人组件</t>
        </is>
      </c>
      <c r="B19" s="12">
        <f>'04_业务结构原始数据'!B5</f>
        <v/>
      </c>
      <c r="C19" s="12">
        <f>'04_业务结构原始数据'!D5</f>
        <v/>
      </c>
      <c r="D19" s="12">
        <f>'04_业务结构原始数据'!F5</f>
        <v/>
      </c>
      <c r="E19" s="14">
        <f>'04_业务结构原始数据'!F5/'04_业务结构原始数据'!F7</f>
        <v/>
      </c>
      <c r="F19" s="74">
        <f>'04_业务结构原始数据'!F5/'04_业务结构原始数据'!B5-1</f>
        <v/>
      </c>
      <c r="G19" s="5" t="inlineStr"/>
      <c r="H19" s="4" t="inlineStr">
        <is>
          <t>性质A</t>
        </is>
      </c>
    </row>
    <row r="20">
      <c r="A20" s="5" t="inlineStr">
        <is>
          <t>其他</t>
        </is>
      </c>
      <c r="B20" s="12">
        <f>'04_业务结构原始数据'!B6</f>
        <v/>
      </c>
      <c r="C20" s="12">
        <f>'04_业务结构原始数据'!D6</f>
        <v/>
      </c>
      <c r="D20" s="12">
        <f>'04_业务结构原始数据'!F6</f>
        <v/>
      </c>
      <c r="E20" s="14">
        <f>'04_业务结构原始数据'!F6/'04_业务结构原始数据'!F7</f>
        <v/>
      </c>
      <c r="F20" s="74">
        <f>'04_业务结构原始数据'!F6/'04_业务结构原始数据'!B6-1</f>
        <v/>
      </c>
      <c r="G20" s="5" t="inlineStr"/>
      <c r="H20" s="4" t="inlineStr">
        <is>
          <t>性质A</t>
        </is>
      </c>
    </row>
    <row r="22" ht="20" customHeight="1">
      <c r="A22" s="3" t="inlineStr">
        <is>
          <t>图表数据区 4：分产品毛利率趋势（性质E·测算，基于表4-1收入与表4-2成本）</t>
        </is>
      </c>
    </row>
    <row r="23" ht="30" customHeight="1">
      <c r="A23" s="7" t="inlineStr">
        <is>
          <t>产品分类</t>
        </is>
      </c>
      <c r="B23" s="7" t="inlineStr">
        <is>
          <t>2023毛利率</t>
        </is>
      </c>
      <c r="C23" s="7" t="inlineStr">
        <is>
          <t>2024毛利率</t>
        </is>
      </c>
      <c r="D23" s="7" t="inlineStr">
        <is>
          <t>2025毛利率</t>
        </is>
      </c>
      <c r="E23" s="7" t="inlineStr">
        <is>
          <t>三年变动(百分点)</t>
        </is>
      </c>
      <c r="F23" s="7" t="inlineStr"/>
      <c r="G23" s="7" t="inlineStr"/>
      <c r="H23" s="7" t="inlineStr">
        <is>
          <t>口径说明</t>
        </is>
      </c>
    </row>
    <row r="24">
      <c r="A24" s="5" t="inlineStr">
        <is>
          <t>四足机器人</t>
        </is>
      </c>
      <c r="B24" s="14">
        <f>('04_业务结构原始数据'!B3-'04_业务结构原始数据'!B11)/'04_业务结构原始数据'!B3</f>
        <v/>
      </c>
      <c r="C24" s="14">
        <f>('04_业务结构原始数据'!D3-'04_业务结构原始数据'!D11)/'04_业务结构原始数据'!D3</f>
        <v/>
      </c>
      <c r="D24" s="14">
        <f>('04_业务结构原始数据'!F3-'04_业务结构原始数据'!F11)/'04_业务结构原始数据'!F3</f>
        <v/>
      </c>
      <c r="E24" s="12">
        <f>(('04_业务结构原始数据'!F3-'04_业务结构原始数据'!F11)/'04_业务结构原始数据'!F3-('04_业务结构原始数据'!B3-'04_业务结构原始数据'!B11)/'04_业务结构原始数据'!B3)*100</f>
        <v/>
      </c>
      <c r="F24" s="5" t="inlineStr"/>
      <c r="G24" s="5" t="inlineStr"/>
      <c r="H24" s="4" t="inlineStr">
        <is>
          <t>机器人组件行可与招股书直接披露的48.76%/56.94%/59.36%互校</t>
        </is>
      </c>
    </row>
    <row r="25">
      <c r="A25" s="5" t="inlineStr">
        <is>
          <t>人形机器人</t>
        </is>
      </c>
      <c r="B25" s="14">
        <f>('04_业务结构原始数据'!B4-'04_业务结构原始数据'!B12)/'04_业务结构原始数据'!B4</f>
        <v/>
      </c>
      <c r="C25" s="14">
        <f>('04_业务结构原始数据'!D4-'04_业务结构原始数据'!D12)/'04_业务结构原始数据'!D4</f>
        <v/>
      </c>
      <c r="D25" s="14">
        <f>('04_业务结构原始数据'!F4-'04_业务结构原始数据'!F12)/'04_业务结构原始数据'!F4</f>
        <v/>
      </c>
      <c r="E25" s="12">
        <f>(('04_业务结构原始数据'!F4-'04_业务结构原始数据'!F12)/'04_业务结构原始数据'!F4-('04_业务结构原始数据'!B4-'04_业务结构原始数据'!B12)/'04_业务结构原始数据'!B4)*100</f>
        <v/>
      </c>
      <c r="F25" s="5" t="inlineStr"/>
      <c r="G25" s="5" t="inlineStr"/>
      <c r="H25" s="4" t="inlineStr">
        <is>
          <t>机器人组件行可与招股书直接披露的48.76%/56.94%/59.36%互校</t>
        </is>
      </c>
    </row>
    <row r="26">
      <c r="A26" s="5" t="inlineStr">
        <is>
          <t>机器人组件</t>
        </is>
      </c>
      <c r="B26" s="14">
        <f>('04_业务结构原始数据'!B5-'04_业务结构原始数据'!B13)/'04_业务结构原始数据'!B5</f>
        <v/>
      </c>
      <c r="C26" s="14">
        <f>('04_业务结构原始数据'!D5-'04_业务结构原始数据'!D13)/'04_业务结构原始数据'!D5</f>
        <v/>
      </c>
      <c r="D26" s="14">
        <f>('04_业务结构原始数据'!F5-'04_业务结构原始数据'!F13)/'04_业务结构原始数据'!F5</f>
        <v/>
      </c>
      <c r="E26" s="12">
        <f>(('04_业务结构原始数据'!F5-'04_业务结构原始数据'!F13)/'04_业务结构原始数据'!F5-('04_业务结构原始数据'!B5-'04_业务结构原始数据'!B13)/'04_业务结构原始数据'!B5)*100</f>
        <v/>
      </c>
      <c r="F26" s="5" t="inlineStr"/>
      <c r="G26" s="5" t="inlineStr"/>
      <c r="H26" s="4" t="inlineStr">
        <is>
          <t>机器人组件行可与招股书直接披露的48.76%/56.94%/59.36%互校</t>
        </is>
      </c>
    </row>
    <row r="28" ht="20" customHeight="1">
      <c r="A28" s="3" t="inlineStr">
        <is>
          <t>图表数据区 5：销售量与平均单价（销量为性质A；单价按“收入÷销量”测算，性质E）</t>
        </is>
      </c>
    </row>
    <row r="29" ht="30" customHeight="1">
      <c r="A29" s="7" t="inlineStr">
        <is>
          <t>报告期</t>
        </is>
      </c>
      <c r="B29" s="7" t="inlineStr">
        <is>
          <t>人形机器人销量(台)</t>
        </is>
      </c>
      <c r="C29" s="7" t="inlineStr">
        <is>
          <t>人形机器人单价(万元/台)</t>
        </is>
      </c>
      <c r="D29" s="7" t="inlineStr">
        <is>
          <t>四足机器人销量(台)</t>
        </is>
      </c>
      <c r="E29" s="7" t="inlineStr">
        <is>
          <t>四足机器人单价(万元/台)</t>
        </is>
      </c>
      <c r="F29" s="7" t="inlineStr"/>
      <c r="G29" s="7" t="inlineStr"/>
      <c r="H29" s="7" t="inlineStr">
        <is>
          <t>口径说明</t>
        </is>
      </c>
    </row>
    <row r="30">
      <c r="A30" s="5" t="inlineStr">
        <is>
          <t>2023年</t>
        </is>
      </c>
      <c r="B30" s="13">
        <f>'04_业务结构原始数据'!C22</f>
        <v/>
      </c>
      <c r="C30" s="12">
        <f>'04_业务结构原始数据'!C24/'04_业务结构原始数据'!C22</f>
        <v/>
      </c>
      <c r="D30" s="13">
        <f>'04_业务结构原始数据'!C19</f>
        <v/>
      </c>
      <c r="E30" s="12">
        <f>'04_业务结构原始数据'!C21/'04_业务结构原始数据'!C19</f>
        <v/>
      </c>
      <c r="F30" s="5" t="inlineStr"/>
      <c r="G30" s="5" t="inlineStr"/>
      <c r="H30" s="4" t="inlineStr">
        <is>
          <t>销量为招股书披露的主营业务收入口径销量</t>
        </is>
      </c>
    </row>
    <row r="31">
      <c r="A31" s="5" t="inlineStr">
        <is>
          <t>2024年</t>
        </is>
      </c>
      <c r="B31" s="13">
        <f>'04_业务结构原始数据'!D22</f>
        <v/>
      </c>
      <c r="C31" s="12">
        <f>'04_业务结构原始数据'!D24/'04_业务结构原始数据'!D22</f>
        <v/>
      </c>
      <c r="D31" s="13">
        <f>'04_业务结构原始数据'!D19</f>
        <v/>
      </c>
      <c r="E31" s="12">
        <f>'04_业务结构原始数据'!D21/'04_业务结构原始数据'!D19</f>
        <v/>
      </c>
      <c r="F31" s="5" t="inlineStr"/>
      <c r="G31" s="5" t="inlineStr"/>
      <c r="H31" s="4" t="inlineStr">
        <is>
          <t>销量为招股书披露的主营业务收入口径销量</t>
        </is>
      </c>
    </row>
    <row r="32">
      <c r="A32" s="5" t="inlineStr">
        <is>
          <t>2025年</t>
        </is>
      </c>
      <c r="B32" s="13">
        <f>'04_业务结构原始数据'!F22</f>
        <v/>
      </c>
      <c r="C32" s="12">
        <f>'04_业务结构原始数据'!F24/'04_业务结构原始数据'!F22</f>
        <v/>
      </c>
      <c r="D32" s="13">
        <f>'04_业务结构原始数据'!F19</f>
        <v/>
      </c>
      <c r="E32" s="12">
        <f>'04_业务结构原始数据'!F21/'04_业务结构原始数据'!F19</f>
        <v/>
      </c>
      <c r="F32" s="5" t="inlineStr"/>
      <c r="G32" s="5" t="inlineStr"/>
      <c r="H32" s="4" t="inlineStr">
        <is>
          <t>销量为招股书披露的主营业务收入口径销量</t>
        </is>
      </c>
    </row>
    <row r="33" ht="15" customHeight="1">
      <c r="A33" s="8" t="inlineStr">
        <is>
          <t>口径提醒：2025年人形机器人“销量”5,215台为主营业务收入口径（性质A）；招股说明书概览部分所称“出货量已超5,500台（全球第一）”为出货量口径，两者相差约300台，不可混用。本图表统一使用5,215台销量口径。</t>
        </is>
      </c>
    </row>
    <row r="35" ht="20" customHeight="1">
      <c r="A35" s="3" t="inlineStr">
        <is>
          <t>图表数据区 6：主营业务收入境内外结构（万元，性质A）</t>
        </is>
      </c>
    </row>
    <row r="36" ht="30" customHeight="1">
      <c r="A36" s="7" t="inlineStr">
        <is>
          <t>报告期</t>
        </is>
      </c>
      <c r="B36" s="7" t="inlineStr">
        <is>
          <t>境内销售</t>
        </is>
      </c>
      <c r="C36" s="7" t="inlineStr">
        <is>
          <t>境外销售</t>
        </is>
      </c>
      <c r="D36" s="7" t="inlineStr">
        <is>
          <t>境外占比</t>
        </is>
      </c>
      <c r="E36" s="7" t="inlineStr"/>
      <c r="F36" s="7" t="inlineStr"/>
      <c r="G36" s="7" t="inlineStr"/>
      <c r="H36" s="7" t="inlineStr">
        <is>
          <t>口径说明</t>
        </is>
      </c>
    </row>
    <row r="37">
      <c r="A37" s="5" t="inlineStr">
        <is>
          <t>2023年</t>
        </is>
      </c>
      <c r="B37" s="12">
        <f>'04_业务结构原始数据'!B29</f>
        <v/>
      </c>
      <c r="C37" s="12">
        <f>'04_业务结构原始数据'!B30</f>
        <v/>
      </c>
      <c r="D37" s="14">
        <f>'04_业务结构原始数据'!C30</f>
        <v/>
      </c>
      <c r="E37" s="5" t="inlineStr"/>
      <c r="F37" s="5" t="inlineStr"/>
      <c r="G37" s="5" t="inlineStr"/>
      <c r="H37" s="4" t="inlineStr">
        <is>
          <t>2025年境内占比首次超过境外（56.35% vs 43.65%）</t>
        </is>
      </c>
    </row>
    <row r="38">
      <c r="A38" s="5" t="inlineStr">
        <is>
          <t>2024年</t>
        </is>
      </c>
      <c r="B38" s="12">
        <f>'04_业务结构原始数据'!D29</f>
        <v/>
      </c>
      <c r="C38" s="12">
        <f>'04_业务结构原始数据'!D30</f>
        <v/>
      </c>
      <c r="D38" s="14">
        <f>'04_业务结构原始数据'!E30</f>
        <v/>
      </c>
      <c r="E38" s="5" t="inlineStr"/>
      <c r="F38" s="5" t="inlineStr"/>
      <c r="G38" s="5" t="inlineStr"/>
      <c r="H38" s="4" t="inlineStr">
        <is>
          <t>2025年境内占比首次超过境外（56.35% vs 43.65%）</t>
        </is>
      </c>
    </row>
    <row r="39">
      <c r="A39" s="5" t="inlineStr">
        <is>
          <t>2025年</t>
        </is>
      </c>
      <c r="B39" s="12">
        <f>'04_业务结构原始数据'!F29</f>
        <v/>
      </c>
      <c r="C39" s="12">
        <f>'04_业务结构原始数据'!F30</f>
        <v/>
      </c>
      <c r="D39" s="14">
        <f>'04_业务结构原始数据'!G30</f>
        <v/>
      </c>
      <c r="E39" s="5" t="inlineStr"/>
      <c r="F39" s="5" t="inlineStr"/>
      <c r="G39" s="5" t="inlineStr"/>
      <c r="H39" s="4" t="inlineStr">
        <is>
          <t>2025年境内占比首次超过境外（56.35% vs 43.65%）</t>
        </is>
      </c>
    </row>
    <row r="41" ht="20" customHeight="1">
      <c r="A41" s="3" t="inlineStr">
        <is>
          <t>图表数据区 6B：主营业务收入季度分布（万元，性质A）</t>
        </is>
      </c>
    </row>
    <row r="42" ht="30" customHeight="1">
      <c r="A42" s="7" t="inlineStr">
        <is>
          <t>季度</t>
        </is>
      </c>
      <c r="B42" s="7" t="inlineStr">
        <is>
          <t>2023收入</t>
        </is>
      </c>
      <c r="C42" s="7" t="inlineStr">
        <is>
          <t>2024收入</t>
        </is>
      </c>
      <c r="D42" s="7" t="inlineStr">
        <is>
          <t>2025收入</t>
        </is>
      </c>
      <c r="E42" s="7" t="inlineStr">
        <is>
          <t>2025占比</t>
        </is>
      </c>
      <c r="F42" s="7" t="inlineStr"/>
      <c r="G42" s="7" t="inlineStr"/>
      <c r="H42" s="7" t="inlineStr">
        <is>
          <t>口径说明</t>
        </is>
      </c>
    </row>
    <row r="43">
      <c r="A43" s="5" t="inlineStr">
        <is>
          <t>第一季度</t>
        </is>
      </c>
      <c r="B43" s="12">
        <f>'04_业务结构原始数据'!B36</f>
        <v/>
      </c>
      <c r="C43" s="12">
        <f>'04_业务结构原始数据'!D36</f>
        <v/>
      </c>
      <c r="D43" s="12">
        <f>'04_业务结构原始数据'!F36</f>
        <v/>
      </c>
      <c r="E43" s="14">
        <f>'04_业务结构原始数据'!G36</f>
        <v/>
      </c>
      <c r="F43" s="5" t="inlineStr"/>
      <c r="G43" s="5" t="inlineStr"/>
      <c r="H43" s="4" t="inlineStr">
        <is>
          <t>第四季度占比常年偏高，存在季节性</t>
        </is>
      </c>
    </row>
    <row r="44">
      <c r="A44" s="5" t="inlineStr">
        <is>
          <t>第二季度</t>
        </is>
      </c>
      <c r="B44" s="12">
        <f>'04_业务结构原始数据'!B37</f>
        <v/>
      </c>
      <c r="C44" s="12">
        <f>'04_业务结构原始数据'!D37</f>
        <v/>
      </c>
      <c r="D44" s="12">
        <f>'04_业务结构原始数据'!F37</f>
        <v/>
      </c>
      <c r="E44" s="14">
        <f>'04_业务结构原始数据'!G37</f>
        <v/>
      </c>
      <c r="F44" s="5" t="inlineStr"/>
      <c r="G44" s="5" t="inlineStr"/>
      <c r="H44" s="4" t="inlineStr">
        <is>
          <t>第四季度占比常年偏高，存在季节性</t>
        </is>
      </c>
    </row>
    <row r="45">
      <c r="A45" s="5" t="inlineStr">
        <is>
          <t>第三季度</t>
        </is>
      </c>
      <c r="B45" s="12">
        <f>'04_业务结构原始数据'!B38</f>
        <v/>
      </c>
      <c r="C45" s="12">
        <f>'04_业务结构原始数据'!D38</f>
        <v/>
      </c>
      <c r="D45" s="12">
        <f>'04_业务结构原始数据'!F38</f>
        <v/>
      </c>
      <c r="E45" s="14">
        <f>'04_业务结构原始数据'!G38</f>
        <v/>
      </c>
      <c r="F45" s="5" t="inlineStr"/>
      <c r="G45" s="5" t="inlineStr"/>
      <c r="H45" s="4" t="inlineStr">
        <is>
          <t>第四季度占比常年偏高，存在季节性</t>
        </is>
      </c>
    </row>
    <row r="46">
      <c r="A46" s="5" t="inlineStr">
        <is>
          <t>第四季度</t>
        </is>
      </c>
      <c r="B46" s="12">
        <f>'04_业务结构原始数据'!B39</f>
        <v/>
      </c>
      <c r="C46" s="12">
        <f>'04_业务结构原始数据'!D39</f>
        <v/>
      </c>
      <c r="D46" s="12">
        <f>'04_业务结构原始数据'!F39</f>
        <v/>
      </c>
      <c r="E46" s="14">
        <f>'04_业务结构原始数据'!G39</f>
        <v/>
      </c>
      <c r="F46" s="5" t="inlineStr"/>
      <c r="G46" s="5" t="inlineStr"/>
      <c r="H46" s="4" t="inlineStr">
        <is>
          <t>第四季度占比常年偏高，存在季节性</t>
        </is>
      </c>
    </row>
    <row r="48" ht="20" customHeight="1">
      <c r="A48" s="3" t="inlineStr">
        <is>
          <t>图表数据区 7：研发投入（性质A）</t>
        </is>
      </c>
    </row>
    <row r="49" ht="30" customHeight="1">
      <c r="A49" s="7" t="inlineStr">
        <is>
          <t>报告期</t>
        </is>
      </c>
      <c r="B49" s="7" t="inlineStr">
        <is>
          <t>研发费用</t>
        </is>
      </c>
      <c r="C49" s="7" t="inlineStr">
        <is>
          <t>研发投入占营收比例</t>
        </is>
      </c>
      <c r="D49" s="7" t="inlineStr">
        <is>
          <t>研发费用同比</t>
        </is>
      </c>
      <c r="E49" s="7" t="inlineStr"/>
      <c r="F49" s="7" t="inlineStr"/>
      <c r="G49" s="7" t="inlineStr"/>
      <c r="H49" s="7" t="inlineStr">
        <is>
          <t>口径说明</t>
        </is>
      </c>
    </row>
    <row r="50">
      <c r="A50" s="5" t="inlineStr">
        <is>
          <t>2023年度</t>
        </is>
      </c>
      <c r="B50" s="12">
        <f>'03_财务原始数据'!C15</f>
        <v/>
      </c>
      <c r="C50" s="14">
        <f>'03_财务原始数据'!C54</f>
        <v/>
      </c>
      <c r="D50" s="53" t="inlineStr">
        <is>
          <t>—</t>
        </is>
      </c>
      <c r="E50" s="5" t="inlineStr"/>
      <c r="F50" s="5" t="inlineStr"/>
      <c r="G50" s="5" t="inlineStr"/>
      <c r="H50" s="4" t="inlineStr">
        <is>
          <t>研发费用绝对额持续上升，但费用率快速下降</t>
        </is>
      </c>
    </row>
    <row r="51">
      <c r="A51" s="5" t="inlineStr">
        <is>
          <t>2024年度</t>
        </is>
      </c>
      <c r="B51" s="12">
        <f>'03_财务原始数据'!D15</f>
        <v/>
      </c>
      <c r="C51" s="14">
        <f>'03_财务原始数据'!D54</f>
        <v/>
      </c>
      <c r="D51" s="14">
        <f>'03_财务原始数据'!D15/'03_财务原始数据'!C15-1</f>
        <v/>
      </c>
      <c r="E51" s="5" t="inlineStr"/>
      <c r="F51" s="5" t="inlineStr"/>
      <c r="G51" s="5" t="inlineStr"/>
      <c r="H51" s="4" t="inlineStr">
        <is>
          <t>研发费用绝对额持续上升，但费用率快速下降</t>
        </is>
      </c>
    </row>
    <row r="52">
      <c r="A52" s="5" t="inlineStr">
        <is>
          <t>2025年度</t>
        </is>
      </c>
      <c r="B52" s="12">
        <f>'03_财务原始数据'!E15</f>
        <v/>
      </c>
      <c r="C52" s="14">
        <f>'03_财务原始数据'!E54</f>
        <v/>
      </c>
      <c r="D52" s="14">
        <f>'03_财务原始数据'!E15/'03_财务原始数据'!D15-1</f>
        <v/>
      </c>
      <c r="E52" s="5" t="inlineStr"/>
      <c r="F52" s="5" t="inlineStr"/>
      <c r="G52" s="5" t="inlineStr"/>
      <c r="H52" s="4" t="inlineStr">
        <is>
          <t>研发费用绝对额持续上升，但费用率快速下降</t>
        </is>
      </c>
    </row>
    <row r="54" ht="20" customHeight="1">
      <c r="A54" s="3" t="inlineStr">
        <is>
          <t>图表数据区 8：同行业可比公司对标（营业收入万元 / 综合毛利率，性质A）</t>
        </is>
      </c>
    </row>
    <row r="55" ht="30" customHeight="1">
      <c r="A55" s="7" t="inlineStr">
        <is>
          <t>公司</t>
        </is>
      </c>
      <c r="B55" s="7" t="inlineStr">
        <is>
          <t>2023营收</t>
        </is>
      </c>
      <c r="C55" s="7" t="inlineStr">
        <is>
          <t>2024营收</t>
        </is>
      </c>
      <c r="D55" s="7" t="inlineStr">
        <is>
          <t>2025营收</t>
        </is>
      </c>
      <c r="E55" s="7" t="inlineStr">
        <is>
          <t>2023毛利率</t>
        </is>
      </c>
      <c r="F55" s="7" t="inlineStr">
        <is>
          <t>2024毛利率</t>
        </is>
      </c>
      <c r="G55" s="7" t="inlineStr">
        <is>
          <t>2025毛利率</t>
        </is>
      </c>
      <c r="H55" s="7" t="inlineStr">
        <is>
          <t>口径说明</t>
        </is>
      </c>
    </row>
    <row r="56">
      <c r="A56" s="5" t="inlineStr">
        <is>
          <t>优必选</t>
        </is>
      </c>
      <c r="B56" s="12">
        <f>'05_客户与同业原始数据'!B25</f>
        <v/>
      </c>
      <c r="C56" s="12">
        <f>'05_客户与同业原始数据'!D25</f>
        <v/>
      </c>
      <c r="D56" s="12">
        <f>'05_客户与同业原始数据'!F25</f>
        <v/>
      </c>
      <c r="E56" s="14">
        <f>'05_客户与同业原始数据'!C25</f>
        <v/>
      </c>
      <c r="F56" s="14">
        <f>'05_客户与同业原始数据'!E25</f>
        <v/>
      </c>
      <c r="G56" s="14">
        <f>'05_客户与同业原始数据'!G25</f>
        <v/>
      </c>
      <c r="H56" s="4" t="inlineStr">
        <is>
          <t>性质A（招股书同业对比表）</t>
        </is>
      </c>
    </row>
    <row r="57">
      <c r="A57" s="5" t="inlineStr">
        <is>
          <t>越疆</t>
        </is>
      </c>
      <c r="B57" s="12">
        <f>'05_客户与同业原始数据'!B26</f>
        <v/>
      </c>
      <c r="C57" s="12">
        <f>'05_客户与同业原始数据'!D26</f>
        <v/>
      </c>
      <c r="D57" s="12">
        <f>'05_客户与同业原始数据'!F26</f>
        <v/>
      </c>
      <c r="E57" s="14">
        <f>'05_客户与同业原始数据'!C26</f>
        <v/>
      </c>
      <c r="F57" s="14">
        <f>'05_客户与同业原始数据'!E26</f>
        <v/>
      </c>
      <c r="G57" s="14">
        <f>'05_客户与同业原始数据'!G26</f>
        <v/>
      </c>
      <c r="H57" s="4" t="inlineStr">
        <is>
          <t>性质A（招股书同业对比表）</t>
        </is>
      </c>
    </row>
    <row r="58">
      <c r="A58" s="5" t="inlineStr">
        <is>
          <t>云深处</t>
        </is>
      </c>
      <c r="B58" s="12">
        <f>'05_客户与同业原始数据'!B27</f>
        <v/>
      </c>
      <c r="C58" s="12">
        <f>'05_客户与同业原始数据'!D27</f>
        <v/>
      </c>
      <c r="D58" s="12">
        <f>'05_客户与同业原始数据'!F27</f>
        <v/>
      </c>
      <c r="E58" s="14">
        <f>'05_客户与同业原始数据'!C27</f>
        <v/>
      </c>
      <c r="F58" s="14">
        <f>'05_客户与同业原始数据'!E27</f>
        <v/>
      </c>
      <c r="G58" s="14">
        <f>'05_客户与同业原始数据'!G27</f>
        <v/>
      </c>
      <c r="H58" s="4" t="inlineStr">
        <is>
          <t>性质A（招股书同业对比表）</t>
        </is>
      </c>
    </row>
    <row r="59">
      <c r="A59" s="5" t="inlineStr">
        <is>
          <t>乐聚智能</t>
        </is>
      </c>
      <c r="B59" s="12">
        <f>'05_客户与同业原始数据'!B28</f>
        <v/>
      </c>
      <c r="C59" s="12">
        <f>'05_客户与同业原始数据'!D28</f>
        <v/>
      </c>
      <c r="D59" s="12">
        <f>'05_客户与同业原始数据'!F28</f>
        <v/>
      </c>
      <c r="E59" s="14">
        <f>'05_客户与同业原始数据'!C28</f>
        <v/>
      </c>
      <c r="F59" s="14">
        <f>'05_客户与同业原始数据'!E28</f>
        <v/>
      </c>
      <c r="G59" s="14">
        <f>'05_客户与同业原始数据'!G28</f>
        <v/>
      </c>
      <c r="H59" s="4" t="inlineStr">
        <is>
          <t>性质A（招股书同业对比表）</t>
        </is>
      </c>
    </row>
    <row r="60">
      <c r="A60" s="5" t="inlineStr">
        <is>
          <t>可比公司平均值</t>
        </is>
      </c>
      <c r="B60" s="12">
        <f>'05_客户与同业原始数据'!B29</f>
        <v/>
      </c>
      <c r="C60" s="12">
        <f>'05_客户与同业原始数据'!D29</f>
        <v/>
      </c>
      <c r="D60" s="12">
        <f>'05_客户与同业原始数据'!F29</f>
        <v/>
      </c>
      <c r="E60" s="14">
        <f>'05_客户与同业原始数据'!C29</f>
        <v/>
      </c>
      <c r="F60" s="14">
        <f>'05_客户与同业原始数据'!E29</f>
        <v/>
      </c>
      <c r="G60" s="14">
        <f>'05_客户与同业原始数据'!G29</f>
        <v/>
      </c>
      <c r="H60" s="4" t="inlineStr">
        <is>
          <t>性质A（招股书同业对比表）</t>
        </is>
      </c>
    </row>
    <row r="61">
      <c r="A61" s="5" t="inlineStr">
        <is>
          <t>宇树科技</t>
        </is>
      </c>
      <c r="B61" s="12">
        <f>'05_客户与同业原始数据'!B30</f>
        <v/>
      </c>
      <c r="C61" s="12">
        <f>'05_客户与同业原始数据'!D30</f>
        <v/>
      </c>
      <c r="D61" s="12">
        <f>'05_客户与同业原始数据'!F30</f>
        <v/>
      </c>
      <c r="E61" s="14">
        <f>'05_客户与同业原始数据'!C30</f>
        <v/>
      </c>
      <c r="F61" s="14">
        <f>'05_客户与同业原始数据'!E30</f>
        <v/>
      </c>
      <c r="G61" s="14">
        <f>'05_客户与同业原始数据'!G30</f>
        <v/>
      </c>
      <c r="H61" s="4" t="inlineStr">
        <is>
          <t>性质A（招股书同业对比表）</t>
        </is>
      </c>
    </row>
    <row r="63" ht="20" customHeight="1">
      <c r="A63" s="3" t="inlineStr">
        <is>
          <t>图表数据区 9：上市后二级市场表现（2026-08-19 至 2026-08-28；行情来源S9，性质E）</t>
        </is>
      </c>
    </row>
    <row r="64" ht="30" customHeight="1">
      <c r="A64" s="7" t="inlineStr">
        <is>
          <t>交易日</t>
        </is>
      </c>
      <c r="B64" s="7" t="inlineStr">
        <is>
          <t>收盘价</t>
        </is>
      </c>
      <c r="C64" s="7" t="inlineStr">
        <is>
          <t>单日涨跌幅</t>
        </is>
      </c>
      <c r="D64" s="7" t="inlineStr">
        <is>
          <t>成交额(亿元)</t>
        </is>
      </c>
      <c r="E64" s="7" t="inlineStr">
        <is>
          <t>换手率</t>
        </is>
      </c>
      <c r="F64" s="7" t="inlineStr">
        <is>
          <t>收盘市值(亿元)</t>
        </is>
      </c>
      <c r="G64" s="7" t="inlineStr"/>
      <c r="H64" s="7" t="inlineStr">
        <is>
          <t>口径说明</t>
        </is>
      </c>
    </row>
    <row r="65">
      <c r="A65" s="28">
        <f>'02_发行上市原始数据'!A66</f>
        <v/>
      </c>
      <c r="B65" s="16">
        <f>'02_发行上市原始数据'!C66</f>
        <v/>
      </c>
      <c r="C65" s="14">
        <f>'02_发行上市原始数据'!I66</f>
        <v/>
      </c>
      <c r="D65" s="12">
        <f>'02_发行上市原始数据'!G66/100000000</f>
        <v/>
      </c>
      <c r="E65" s="14">
        <f>'02_发行上市原始数据'!K66</f>
        <v/>
      </c>
      <c r="F65" s="12">
        <f>'02_发行上市原始数据'!C66*'02_发行上市原始数据'!B10/100000000</f>
        <v/>
      </c>
      <c r="G65" s="5" t="inlineStr"/>
      <c r="H65" s="4" t="inlineStr">
        <is>
          <t>性质E（第三方行情，非公司披露）</t>
        </is>
      </c>
    </row>
    <row r="66">
      <c r="A66" s="28">
        <f>'02_发行上市原始数据'!A67</f>
        <v/>
      </c>
      <c r="B66" s="16">
        <f>'02_发行上市原始数据'!C67</f>
        <v/>
      </c>
      <c r="C66" s="14">
        <f>'02_发行上市原始数据'!I67</f>
        <v/>
      </c>
      <c r="D66" s="12">
        <f>'02_发行上市原始数据'!G67/100000000</f>
        <v/>
      </c>
      <c r="E66" s="14">
        <f>'02_发行上市原始数据'!K67</f>
        <v/>
      </c>
      <c r="F66" s="12">
        <f>'02_发行上市原始数据'!C67*'02_发行上市原始数据'!B10/100000000</f>
        <v/>
      </c>
      <c r="G66" s="5" t="inlineStr"/>
      <c r="H66" s="4" t="inlineStr">
        <is>
          <t>性质E（第三方行情，非公司披露）</t>
        </is>
      </c>
    </row>
    <row r="67">
      <c r="A67" s="28">
        <f>'02_发行上市原始数据'!A68</f>
        <v/>
      </c>
      <c r="B67" s="16">
        <f>'02_发行上市原始数据'!C68</f>
        <v/>
      </c>
      <c r="C67" s="14">
        <f>'02_发行上市原始数据'!I68</f>
        <v/>
      </c>
      <c r="D67" s="12">
        <f>'02_发行上市原始数据'!G68/100000000</f>
        <v/>
      </c>
      <c r="E67" s="14">
        <f>'02_发行上市原始数据'!K68</f>
        <v/>
      </c>
      <c r="F67" s="12">
        <f>'02_发行上市原始数据'!C68*'02_发行上市原始数据'!B10/100000000</f>
        <v/>
      </c>
      <c r="G67" s="5" t="inlineStr"/>
      <c r="H67" s="4" t="inlineStr">
        <is>
          <t>性质E（第三方行情，非公司披露）</t>
        </is>
      </c>
    </row>
    <row r="68">
      <c r="A68" s="28">
        <f>'02_发行上市原始数据'!A69</f>
        <v/>
      </c>
      <c r="B68" s="16">
        <f>'02_发行上市原始数据'!C69</f>
        <v/>
      </c>
      <c r="C68" s="14">
        <f>'02_发行上市原始数据'!I69</f>
        <v/>
      </c>
      <c r="D68" s="12">
        <f>'02_发行上市原始数据'!G69/100000000</f>
        <v/>
      </c>
      <c r="E68" s="14">
        <f>'02_发行上市原始数据'!K69</f>
        <v/>
      </c>
      <c r="F68" s="12">
        <f>'02_发行上市原始数据'!C69*'02_发行上市原始数据'!B10/100000000</f>
        <v/>
      </c>
      <c r="G68" s="5" t="inlineStr"/>
      <c r="H68" s="4" t="inlineStr">
        <is>
          <t>性质E（第三方行情，非公司披露）</t>
        </is>
      </c>
    </row>
    <row r="69">
      <c r="A69" s="28">
        <f>'02_发行上市原始数据'!A70</f>
        <v/>
      </c>
      <c r="B69" s="16">
        <f>'02_发行上市原始数据'!C70</f>
        <v/>
      </c>
      <c r="C69" s="14">
        <f>'02_发行上市原始数据'!I70</f>
        <v/>
      </c>
      <c r="D69" s="12">
        <f>'02_发行上市原始数据'!G70/100000000</f>
        <v/>
      </c>
      <c r="E69" s="14">
        <f>'02_发行上市原始数据'!K70</f>
        <v/>
      </c>
      <c r="F69" s="12">
        <f>'02_发行上市原始数据'!C70*'02_发行上市原始数据'!B10/100000000</f>
        <v/>
      </c>
      <c r="G69" s="5" t="inlineStr"/>
      <c r="H69" s="4" t="inlineStr">
        <is>
          <t>性质E（第三方行情，非公司披露）</t>
        </is>
      </c>
    </row>
    <row r="70">
      <c r="A70" s="28">
        <f>'02_发行上市原始数据'!A71</f>
        <v/>
      </c>
      <c r="B70" s="16">
        <f>'02_发行上市原始数据'!C71</f>
        <v/>
      </c>
      <c r="C70" s="14">
        <f>'02_发行上市原始数据'!I71</f>
        <v/>
      </c>
      <c r="D70" s="12">
        <f>'02_发行上市原始数据'!G71/100000000</f>
        <v/>
      </c>
      <c r="E70" s="14">
        <f>'02_发行上市原始数据'!K71</f>
        <v/>
      </c>
      <c r="F70" s="12">
        <f>'02_发行上市原始数据'!C71*'02_发行上市原始数据'!B10/100000000</f>
        <v/>
      </c>
      <c r="G70" s="5" t="inlineStr"/>
      <c r="H70" s="4" t="inlineStr">
        <is>
          <t>性质E（第三方行情，非公司披露）</t>
        </is>
      </c>
    </row>
    <row r="71">
      <c r="A71" s="28">
        <f>'02_发行上市原始数据'!A72</f>
        <v/>
      </c>
      <c r="B71" s="16">
        <f>'02_发行上市原始数据'!C72</f>
        <v/>
      </c>
      <c r="C71" s="14">
        <f>'02_发行上市原始数据'!I72</f>
        <v/>
      </c>
      <c r="D71" s="12">
        <f>'02_发行上市原始数据'!G72/100000000</f>
        <v/>
      </c>
      <c r="E71" s="14">
        <f>'02_发行上市原始数据'!K72</f>
        <v/>
      </c>
      <c r="F71" s="12">
        <f>'02_发行上市原始数据'!C72*'02_发行上市原始数据'!B10/100000000</f>
        <v/>
      </c>
      <c r="G71" s="5" t="inlineStr"/>
      <c r="H71" s="4" t="inlineStr">
        <is>
          <t>性质E（第三方行情，非公司披露）</t>
        </is>
      </c>
    </row>
    <row r="72">
      <c r="A72" s="28">
        <f>'02_发行上市原始数据'!A73</f>
        <v/>
      </c>
      <c r="B72" s="16">
        <f>'02_发行上市原始数据'!C73</f>
        <v/>
      </c>
      <c r="C72" s="14">
        <f>'02_发行上市原始数据'!I73</f>
        <v/>
      </c>
      <c r="D72" s="12">
        <f>'02_发行上市原始数据'!G73/100000000</f>
        <v/>
      </c>
      <c r="E72" s="14">
        <f>'02_发行上市原始数据'!K73</f>
        <v/>
      </c>
      <c r="F72" s="12">
        <f>'02_发行上市原始数据'!C73*'02_发行上市原始数据'!B10/100000000</f>
        <v/>
      </c>
      <c r="G72" s="5" t="inlineStr"/>
      <c r="H72" s="4" t="inlineStr">
        <is>
          <t>性质E（第三方行情，非公司披露）</t>
        </is>
      </c>
    </row>
    <row r="73" ht="15" customHeight="1">
      <c r="A73" s="8" t="inlineStr">
        <is>
          <t>2026-08-29、08-30为周末非交易日；2026-08-31行情虽已产生，但超出本底稿资料截止日（2026-08-30），已排除。</t>
        </is>
      </c>
    </row>
    <row r="75" ht="20" customHeight="1">
      <c r="A75" s="3" t="inlineStr">
        <is>
          <t>图表数据区 10：2026年1-6月 管理层预计（性质D）与已实现（性质C）</t>
        </is>
      </c>
    </row>
    <row r="76" ht="30" customHeight="1">
      <c r="A76" s="7" t="inlineStr">
        <is>
          <t>项目</t>
        </is>
      </c>
      <c r="B76" s="7" t="inlineStr">
        <is>
          <t>预计下限(D)</t>
        </is>
      </c>
      <c r="C76" s="7" t="inlineStr">
        <is>
          <t>预计上限(D)</t>
        </is>
      </c>
      <c r="D76" s="7" t="inlineStr">
        <is>
          <t>已实现(C)</t>
        </is>
      </c>
      <c r="E76" s="7" t="inlineStr">
        <is>
          <t>上年同期(A/C)</t>
        </is>
      </c>
      <c r="F76" s="7" t="inlineStr"/>
      <c r="G76" s="7" t="inlineStr"/>
      <c r="H76" s="7" t="inlineStr">
        <is>
          <t>口径说明</t>
        </is>
      </c>
    </row>
    <row r="77">
      <c r="A77" s="22" t="inlineStr">
        <is>
          <t>营业收入</t>
        </is>
      </c>
      <c r="B77" s="24">
        <f>'03_财务原始数据'!C112</f>
        <v/>
      </c>
      <c r="C77" s="24">
        <f>'03_财务原始数据'!D112</f>
        <v/>
      </c>
      <c r="D77" s="24">
        <f>'03_财务原始数据'!C88</f>
        <v/>
      </c>
      <c r="E77" s="24">
        <f>'03_财务原始数据'!D88</f>
        <v/>
      </c>
      <c r="F77" s="22" t="inlineStr"/>
      <c r="G77" s="22" t="inlineStr"/>
      <c r="H77" s="62" t="inlineStr">
        <is>
          <t>预计数为性质D（管理层估计，不构成盈利预测或业绩承诺）；已实现数为性质C（未经审计）</t>
        </is>
      </c>
    </row>
    <row r="78">
      <c r="A78" s="22" t="inlineStr">
        <is>
          <t>归母净利润</t>
        </is>
      </c>
      <c r="B78" s="24">
        <f>'03_财务原始数据'!C113</f>
        <v/>
      </c>
      <c r="C78" s="24">
        <f>'03_财务原始数据'!D113</f>
        <v/>
      </c>
      <c r="D78" s="24">
        <f>'03_财务原始数据'!C91</f>
        <v/>
      </c>
      <c r="E78" s="24">
        <f>'03_财务原始数据'!D91</f>
        <v/>
      </c>
      <c r="F78" s="22" t="inlineStr"/>
      <c r="G78" s="22" t="inlineStr"/>
      <c r="H78" s="62" t="inlineStr">
        <is>
          <t>预计数为性质D（管理层估计，不构成盈利预测或业绩承诺）；已实现数为性质C（未经审计）</t>
        </is>
      </c>
    </row>
    <row r="79">
      <c r="A79" s="22" t="inlineStr">
        <is>
          <t>扣非归母净利润</t>
        </is>
      </c>
      <c r="B79" s="24">
        <f>'03_财务原始数据'!C114</f>
        <v/>
      </c>
      <c r="C79" s="24">
        <f>'03_财务原始数据'!D114</f>
        <v/>
      </c>
      <c r="D79" s="24">
        <f>'03_财务原始数据'!C92</f>
        <v/>
      </c>
      <c r="E79" s="24">
        <f>'03_财务原始数据'!D92</f>
        <v/>
      </c>
      <c r="F79" s="22" t="inlineStr"/>
      <c r="G79" s="22" t="inlineStr"/>
      <c r="H79" s="62" t="inlineStr">
        <is>
          <t>预计数为性质D（管理层估计，不构成盈利预测或业绩承诺）；已实现数为性质C（未经审计）</t>
        </is>
      </c>
    </row>
    <row r="80" ht="15" customHeight="1">
      <c r="A80" s="8" t="inlineStr">
        <is>
          <t>本区数据严禁用于表述“公司实现了盈利预测”。招股说明书原文载明预计数“不构成公司的盈利预测或业绩承诺”。</t>
        </is>
      </c>
    </row>
    <row r="83">
      <c r="A83" s="88" t="inlineStr">
        <is>
          <t>↓ 以下为图表区（共19张），数据全部取自上方公式区</t>
        </is>
      </c>
    </row>
    <row r="465" ht="39" customHeight="1">
      <c r="A465" s="9" t="inlineStr">
        <is>
          <t>图表清单（共19张）：图1 营收与增速｜图2 归母 vs 扣非净利｜图3 非经常性损益净额｜图4 经营现金流 vs 营收｜图5 毛利率与扣非净利率｜图6 费用率（含剔除股份支付）｜图7 产品构成堆积｜图8 分产品毛利率｜图9 人形机器人量价｜图10 四足机器人量价｜图11 境内外结构｜图12 季度分布｜图13 研发投入｜图14 同业营收｜图15 同业毛利率｜图16 收盘价走势｜图17 收盘市值｜图18 涨跌幅与换手率｜图19 预计 vs 实际。全部图表数据均来自本页上方公式区，未使用任何硬编码数值；若某张图表显示为空白，通常是因为 Excel 尚未完成公式重算（按 F9 或 Ctrl+Alt+F9 强制重算即可）。</t>
        </is>
      </c>
    </row>
  </sheetData>
  <mergeCells count="17">
    <mergeCell ref="A9:H9"/>
    <mergeCell ref="A80:H80"/>
    <mergeCell ref="A48:H48"/>
    <mergeCell ref="A3:H3"/>
    <mergeCell ref="A465:H465"/>
    <mergeCell ref="A15:H15"/>
    <mergeCell ref="A35:H35"/>
    <mergeCell ref="A73:H73"/>
    <mergeCell ref="A2:H2"/>
    <mergeCell ref="A54:H54"/>
    <mergeCell ref="A63:H63"/>
    <mergeCell ref="A28:H28"/>
    <mergeCell ref="A41:H41"/>
    <mergeCell ref="A33:H33"/>
    <mergeCell ref="A1:H1"/>
    <mergeCell ref="A75:H75"/>
    <mergeCell ref="A22:H2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7030A0"/>
    <outlinePr summaryBelow="1" summaryRight="1"/>
    <pageSetUpPr/>
  </sheetPr>
  <dimension ref="A1:F39"/>
  <sheetViews>
    <sheetView showGridLines="0" workbookViewId="0">
      <selection activeCell="A1" sqref="A1"/>
    </sheetView>
  </sheetViews>
  <sheetFormatPr baseColWidth="8" defaultRowHeight="15"/>
  <cols>
    <col width="8" customWidth="1" min="1" max="1"/>
    <col width="50" customWidth="1" min="2" max="2"/>
    <col width="66" customWidth="1" min="3" max="3"/>
    <col width="12" customWidth="1" min="4" max="4"/>
    <col width="13" customWidth="1" min="5" max="5"/>
    <col width="52" customWidth="1" min="6" max="6"/>
  </cols>
  <sheetData>
    <row r="1" ht="26" customHeight="1">
      <c r="A1" s="1" t="inlineStr">
        <is>
          <t>分析结论（每条结论均附支撑数据、来源编号与数据性质，可逐条回溯至原始数据表）</t>
        </is>
      </c>
    </row>
    <row r="2" ht="26" customHeight="1">
      <c r="A2" s="9" t="inlineStr">
        <is>
          <t>阅读顺序建议：先看“结论（一句话）”，再看“支撑数据与计算依据”，最后核对“来源 / 数据性质”与“局限、反证与需跟踪事项”。凡性质标注含 D 的均为管理层预计，不得作为已实现事实引用；凡含 E 的为本底稿测算，须按局限列说明使用；凡含 C 的为未经审计数据，引用时必须注明。</t>
        </is>
      </c>
    </row>
    <row r="3" ht="30" customHeight="1">
      <c r="A3" s="7" t="inlineStr">
        <is>
          <t>编号</t>
        </is>
      </c>
      <c r="B3" s="7" t="inlineStr">
        <is>
          <t>结论（一句话）</t>
        </is>
      </c>
      <c r="C3" s="7" t="inlineStr">
        <is>
          <t>支撑数据与计算依据</t>
        </is>
      </c>
      <c r="D3" s="7" t="inlineStr">
        <is>
          <t>来源</t>
        </is>
      </c>
      <c r="E3" s="7" t="inlineStr">
        <is>
          <t>数据性质</t>
        </is>
      </c>
      <c r="F3" s="7" t="inlineStr">
        <is>
          <t>局限、反证与需跟踪事项</t>
        </is>
      </c>
    </row>
    <row r="4" ht="20" customHeight="1">
      <c r="A4" s="3" t="inlineStr">
        <is>
          <t>一、总体判断</t>
        </is>
      </c>
    </row>
    <row r="5">
      <c r="A5" s="54" t="inlineStr">
        <is>
          <t>C-01</t>
        </is>
      </c>
      <c r="B5" s="57" t="inlineStr">
        <is>
          <t>报告期内公司完成了从“四足机器人厂商”到“人形机器人主导”的业务结构跃迁，收入规模三年增长约9.7倍，这是本次分析中最强的事实性发现。</t>
        </is>
      </c>
      <c r="C5" s="57" t="inlineStr">
        <is>
          <t>营业收入15,913.44万元（2023）→39,277.07万元（2024）→169,926.93万元（2025），两年CAGR约226.78%（见表7-1）；人形机器人占主营业务收入比重由1.88%升至27.68%再升至51.78%，2025年首次超过四足机器人（41.62%）成为第一大产品线（见表4-1）。</t>
        </is>
      </c>
      <c r="D5" s="54" t="inlineStr">
        <is>
          <t>S1</t>
        </is>
      </c>
      <c r="E5" s="54" t="inlineStr">
        <is>
          <t>A</t>
        </is>
      </c>
      <c r="F5" s="57" t="inlineStr">
        <is>
          <t>高增长建立在极低基数之上（2023年人形机器人仅销售5台、收入296.71万元），百分比增速对基数高度敏感，不宜线性外推。</t>
        </is>
      </c>
    </row>
    <row r="6">
      <c r="A6" s="63" t="inlineStr">
        <is>
          <t>C-02</t>
        </is>
      </c>
      <c r="B6" s="67" t="inlineStr">
        <is>
          <t>公司账面利润与真实盈利能力之间存在系统性偏离，必须以扣非口径而非归母口径评估其盈利水平。</t>
        </is>
      </c>
      <c r="C6" s="67" t="inlineStr">
        <is>
          <t>2025年归母净利润27,821.05万元，而扣非归母净利润59,075.28万元，扣非后反而高出31,254.23万元（见表7-2）；差额来自2025年6月上海宇翼增资确认的股份支付费用34,906.55万元，全额计入管理费用、列为非经常性损益、无现金流出。剔除该项后2025年管理费用率由23.52%降至约2.97%（见表7-2）；2025年扣非加权ROE 28.70%，为扣非前13.52%的2.1倍。</t>
        </is>
      </c>
      <c r="D6" s="63" t="inlineStr">
        <is>
          <t>S1</t>
        </is>
      </c>
      <c r="E6" s="63" t="inlineStr">
        <is>
          <t>A + E</t>
        </is>
      </c>
      <c r="F6" s="67" t="inlineStr">
        <is>
          <t>股份支付费用属一次性会计确认，不代表经营恶化。但由此产生的基数效应会使2026年“归母净利润同比”严重失真——2026H1归母净利润27,399.99万元 vs 上年同期−3,202.45万元，上市公告书已直接标注“不可比”（见表3-3）。分析中应以扣非口径为主轴。</t>
        </is>
      </c>
    </row>
    <row r="7">
      <c r="A7" s="63" t="inlineStr">
        <is>
          <t>C-03</t>
        </is>
      </c>
      <c r="B7" s="67" t="inlineStr">
        <is>
          <t>2026年上半年收入继续高增长，但盈利与现金流两项指标同步走弱，构成本底稿识别出的最重要预警信号。</t>
        </is>
      </c>
      <c r="C7" s="67" t="inlineStr">
        <is>
          <t>2026H1营业总收入115,224.56万元（同比+48.54%），但扣非归母净利润24,393.03万元（−19.34%）、经营活动现金流净额23,154.53万元（−32.53%）、扣非加权ROE 8.90%（同比−12.12个百分点）（见表3-3、表7-1、表7-5）；2026Q1更为极端：营收+68.49%而扣非归母净利−52.55%、经营现金流−85.65%（见表3-2）。收入增而利润减的直接线索是单价持续下行（见表7-4）与研发费用同比增加8,203.74万元（H1口径）。</t>
        </is>
      </c>
      <c r="D7" s="63" t="inlineStr">
        <is>
          <t>S1 / S2</t>
        </is>
      </c>
      <c r="E7" s="63" t="inlineStr">
        <is>
          <t>B / C</t>
        </is>
      </c>
      <c r="F7" s="67" t="inlineStr">
        <is>
          <t>2026H1数据未经审计（性质C），2026Q1仅经审阅（性质B），且公司已明示上市后不再单独披露2026年半年报，故无法通过后续定期报告验证。利润下滑的成因（价格下探、研发投入加大、销售费用前置、产品结构变化）在披露文件中未逐项量化，须以2026年年度报告核实。这是本底稿优先级最高的跟踪事项。</t>
        </is>
      </c>
    </row>
    <row r="8" ht="20" customHeight="1">
      <c r="A8" s="3" t="inlineStr">
        <is>
          <t>二、成长性与收入质量</t>
        </is>
      </c>
    </row>
    <row r="9">
      <c r="A9" s="5" t="inlineStr">
        <is>
          <t>C-04</t>
        </is>
      </c>
      <c r="B9" s="4" t="inlineStr">
        <is>
          <t>收入增长几乎完全由销量驱动、并被单价下行部分抵消，属“以价换量”的扩张模式。</t>
        </is>
      </c>
      <c r="C9" s="4" t="inlineStr">
        <is>
          <t>2025年四足机器人销量贡献+51,371.57万元（占收入变动额109.98%）、单价拖累−4,663.39万元（−9.98%）；人形机器人销量贡献+125,085.09万元（164.47%）、单价拖累−49,031.66万元（−64.47%）（见表7-4，与招股书披露值一致）。人形机器人平均单价由59.34万元/台（2023）→26.04万元/台（2024）→16.64万元/台（2025），累计降幅71.96%。</t>
        </is>
      </c>
      <c r="D9" s="5" t="inlineStr">
        <is>
          <t>S1</t>
        </is>
      </c>
      <c r="E9" s="5" t="inlineStr">
        <is>
          <t>A + E</t>
        </is>
      </c>
      <c r="F9" s="4" t="inlineStr">
        <is>
          <t>单价下降可能同时反映产品结构下沉（不同型号混合）与主动降价，招股书未拆分型号级单价，无法区分两种成因。若为主动降价，则毛利率可持续性存疑；若为结构下沉，则需关注高端产品的竞争力与品牌形象。</t>
        </is>
      </c>
    </row>
    <row r="10">
      <c r="A10" s="5" t="inlineStr">
        <is>
          <t>C-05</t>
        </is>
      </c>
      <c r="B10" s="4" t="inlineStr">
        <is>
          <t>客户结构分散、无单一大客户依赖，收入集中度风险较低。</t>
        </is>
      </c>
      <c r="C10" s="4" t="inlineStr">
        <is>
          <t>报告期前五大客户合计占营业收入比例稳定在12.69%（2023）、12.45%（2024）、12.08%（2025）（见表5-1）；2025年第一大客户为境外客户N（欧洲），占比仅3.11%；招股说明书明确不存在向单个客户销售比例超过50%的情形，且与前五大客户均不存在关联关系。</t>
        </is>
      </c>
      <c r="D10" s="5" t="inlineStr">
        <is>
          <t>S1</t>
        </is>
      </c>
      <c r="E10" s="5" t="inlineStr">
        <is>
          <t>A</t>
        </is>
      </c>
      <c r="F10" s="4" t="inlineStr">
        <is>
          <t>前五大客户中多家以“境外客户X（地区）”匿名披露，无法独立核实其真实身份、是否为经销商、以及最终销售是否实现；2025年新进入前五大名单的京东集团（4,887.32万元，2.88%）与北京朝元时代科技（3,070.69万元，1.81%）在2023、2024年名单中均未出现，属新增渠道，其持续性需跟踪。</t>
        </is>
      </c>
    </row>
    <row r="11">
      <c r="A11" s="5" t="inlineStr">
        <is>
          <t>C-06</t>
        </is>
      </c>
      <c r="B11" s="4" t="inlineStr">
        <is>
          <t>收入存在明显的第四季度集中特征，季节性会放大单季数据的解读风险。</t>
        </is>
      </c>
      <c r="C11" s="4" t="inlineStr">
        <is>
          <t>第四季度主营业务收入占比：2023年33.61%、2024年40.71%、2025年31.12%（见表4-5）；招股说明书解释为新产品多在下半年陆续形成收入并于第四季度形成规模收入，且部分客户实行集中采购与预算管理。</t>
        </is>
      </c>
      <c r="D11" s="5" t="inlineStr">
        <is>
          <t>S1</t>
        </is>
      </c>
      <c r="E11" s="5" t="inlineStr">
        <is>
          <t>A</t>
        </is>
      </c>
      <c r="F11" s="4" t="inlineStr">
        <is>
          <t>由于Q4占比偏高，将2026H1数据×2得到的年化值（230,449.12万元，见表7-9）会系统性低估全年，该测算值仅为机械结果，严禁作为全年业绩预测或估值输入使用。</t>
        </is>
      </c>
    </row>
    <row r="12">
      <c r="A12" s="5" t="inlineStr">
        <is>
          <t>C-07</t>
        </is>
      </c>
      <c r="B12" s="4" t="inlineStr">
        <is>
          <t>2025年收入区域结构发生反转，境内首次超过境外。</t>
        </is>
      </c>
      <c r="C12" s="4" t="inlineStr">
        <is>
          <t>境内主营业务收入占比由44.37%（2023）、44.26%（2024）升至56.35%（2025），境外由55.63%降至43.65%（见表4-4）；招股说明书归因于2025年年初春晚演出提升全国品牌知名度，以及国内人工智能与机器人产业快速发展与政策支持带动科研教育、商业消费、行业应用客户采购需求。</t>
        </is>
      </c>
      <c r="D12" s="5" t="inlineStr">
        <is>
          <t>S1</t>
        </is>
      </c>
      <c r="E12" s="5" t="inlineStr">
        <is>
          <t>A</t>
        </is>
      </c>
      <c r="F12" s="4" t="inlineStr">
        <is>
          <t>归因中包含“春晚演出”这一一次性营销事件，其需求拉动的可持续性无法从披露文件判断；境外收入占比下降也可能隐含出口管制、关税或地缘政治因素，招股说明书风险因素章节的相关表述需人工复核。</t>
        </is>
      </c>
    </row>
    <row r="13">
      <c r="A13" s="5" t="inlineStr">
        <is>
          <t>C-08</t>
        </is>
      </c>
      <c r="B13" s="4" t="inlineStr">
        <is>
          <t>销售模式仍以线下为主，但线上（含电商入仓）已成为新的增量渠道。</t>
        </is>
      </c>
      <c r="C13" s="4" t="inlineStr">
        <is>
          <t>线下销售占比常年维持在86.86%→89.61%→89.28%；线上销售2025年为17,970.42万元（占10.72%），其中首次出现“电商入仓”模式4,885.16万元（占2.91%）；线下经销占比由35.59%升至38.18%（见表4-6）。</t>
        </is>
      </c>
      <c r="D13" s="5" t="inlineStr">
        <is>
          <t>S1</t>
        </is>
      </c>
      <c r="E13" s="5" t="inlineStr">
        <is>
          <t>A</t>
        </is>
      </c>
      <c r="F13" s="4" t="inlineStr">
        <is>
          <t>经销收入占比上升意味着收入确认依赖经销商提货而非终端销售，存在渠道压货的可能性；招股说明书对经销商期末库存、退换货政策的披露需人工复核。</t>
        </is>
      </c>
    </row>
    <row r="14" ht="20" customHeight="1">
      <c r="A14" s="3" t="inlineStr">
        <is>
          <t>三、盈利能力与成本结构</t>
        </is>
      </c>
    </row>
    <row r="15">
      <c r="A15" s="54" t="inlineStr">
        <is>
          <t>C-09</t>
        </is>
      </c>
      <c r="B15" s="57" t="inlineStr">
        <is>
          <t>综合毛利率三年持续提升且显著高于同业，但其提升主要来自产品结构变化，而非单一产品盈利能力的普遍改善。</t>
        </is>
      </c>
      <c r="C15" s="57" t="inlineStr">
        <is>
          <t>综合毛利率44.75%→57.22%→60.44%，2025年高出可比公司平均值（44.44%）16.00个百分点（见表7-10）。分产品测算：人形机器人毛利率87.67%→69.26%→63.18%（下行），四足机器人43.71%→51.65%→56.72%（上行），机器人组件48.76%→56.94%→59.36%（上行）（见表7-3）。整体上行主要由高毛利的人形机器人收入占比从1.88%升至51.78%所驱动。</t>
        </is>
      </c>
      <c r="D15" s="54" t="inlineStr">
        <is>
          <t>S1</t>
        </is>
      </c>
      <c r="E15" s="54" t="inlineStr">
        <is>
          <t>A + E</t>
        </is>
      </c>
      <c r="F15" s="57" t="inlineStr">
        <is>
          <t>结构驱动型毛利率提升的可持续性取决于两点：人形机器人收入占比能否维持，以及其自身毛利率能否止住下滑。若人形机器人毛利率继续按每年约6个百分点的速度回落，即使收入占比不变，综合毛利率也将见顶。</t>
        </is>
      </c>
    </row>
    <row r="16">
      <c r="A16" s="5" t="inlineStr">
        <is>
          <t>C-10</t>
        </is>
      </c>
      <c r="B16" s="4" t="inlineStr">
        <is>
          <t>成本结构中直接材料占比快速上升，公司盈利的敏感度正从“人工与制造费用”转向“上游物料价格”。</t>
        </is>
      </c>
      <c r="C16" s="4" t="inlineStr">
        <is>
          <t>主营业务成本中直接材料占比72.87%（2023）→72.93%（2024）→81.73%（2025），直接人工由13.97%降至8.08%，制造费用由13.16%降至10.20%（见表4-7）；招股说明书解释为规模效应、生产标准化与人员熟练度提升带来效率提高，以及材料成本占比较高的人形机器人收入占比由27.68%升至51.78%。</t>
        </is>
      </c>
      <c r="D16" s="5" t="inlineStr">
        <is>
          <t>S1</t>
        </is>
      </c>
      <c r="E16" s="5" t="inlineStr">
        <is>
          <t>A</t>
        </is>
      </c>
      <c r="F16" s="4" t="inlineStr">
        <is>
          <t>人工与制造费用占比下降部分来自收入结构变化的分母效应，不完全是效率提升；直接材料占比升至81.73%后，核心零部件（电机、减速器、传感器、芯片）价格波动对毛利率的弹性显著放大，而招股书未披露主要原材料的采购集中度与价格锁定安排，需人工复核“主要供应商”章节。</t>
        </is>
      </c>
    </row>
    <row r="17">
      <c r="A17" s="5" t="inlineStr">
        <is>
          <t>C-11</t>
        </is>
      </c>
      <c r="B17" s="4" t="inlineStr">
        <is>
          <t>2025年存货规模与跌价准备均处于需关注水平，与高速放量相匹配但也隐含跌价风险。</t>
        </is>
      </c>
      <c r="C17" s="4" t="inlineStr">
        <is>
          <t>2025年末存货账面余额39,232.70万元、跌价准备2,457.37万元、账面价值36,775.34万元（计提率约6.26%）；其中在产品15,887.54万元（占43.20%）、原材料11,695.51万元（占31.80%）、库存商品3,757.68万元（占10.22%）、发出商品3,678.85万元（占10.00%）（见表4-8附注与表7-5）。存货占流动资产约16.57%。</t>
        </is>
      </c>
      <c r="D17" s="5" t="inlineStr">
        <is>
          <t>S1</t>
        </is>
      </c>
      <c r="E17" s="5" t="inlineStr">
        <is>
          <t>A + E</t>
        </is>
      </c>
      <c r="F17" s="4" t="inlineStr">
        <is>
          <t>2023、2024年存货数据未在本次提取范围内获得，无法计算存货增速与存货周转率的时序变化（见表10）；在产品占比高达43.20%，若下游需求或产品迭代节奏变化，跌价风险集中于该科目。另外发出商品3,678.85万元与“出货量&gt;5,500台 vs 销量5,215台”的口径差异可能存在关联，值得核验。</t>
        </is>
      </c>
    </row>
    <row r="18" ht="20" customHeight="1">
      <c r="A18" s="3" t="inlineStr">
        <is>
          <t>四、现金流、资产结构与会计估计</t>
        </is>
      </c>
    </row>
    <row r="19">
      <c r="A19" s="63" t="inlineStr">
        <is>
          <t>C-12</t>
        </is>
      </c>
      <c r="B19" s="67" t="inlineStr">
        <is>
          <t>2023—2025年经营现金流质量优秀，但2026年上半年出现收入与现金流的明显背离。</t>
        </is>
      </c>
      <c r="C19" s="67" t="inlineStr">
        <is>
          <t>经营活动现金流净额494.25万元（2023）→19,239.13万元（2024）→66,998.18万元（2025），占营业收入比例分别为3.11%、48.98%、39.43%（见表7-5）；2025年经营现金流÷归母净利润约2.41倍，÷扣非归母净利润约1.13倍，两者差额正是股份支付费用“减利不出现金”的结果。但2026Q1经营现金流净额仅3,439.96万元（−85.65%），2026H1为23,154.53万元（−32.53%），同期收入分别+68.49%、+48.54%。</t>
        </is>
      </c>
      <c r="D19" s="63" t="inlineStr">
        <is>
          <t>S1 / S2</t>
        </is>
      </c>
      <c r="E19" s="63" t="inlineStr">
        <is>
          <t>A / B / C</t>
        </is>
      </c>
      <c r="F19" s="67" t="inlineStr">
        <is>
          <t>现金流背离的可能原因（预付款项增加、存货备货、应收账期放宽、税费缴纳节奏）在披露文件中未量化说明；2026H1流动资产较上年末+30.13%、流动负债+55.57%、负债总额+59.88%、资产负债率由18.82%升至25.11%，显示营运资金占用明显加大，需在2026年年报中核实。</t>
        </is>
      </c>
    </row>
    <row r="20">
      <c r="A20" s="63" t="inlineStr">
        <is>
          <t>C-13</t>
        </is>
      </c>
      <c r="B20" s="67" t="inlineStr">
        <is>
          <t>应收账款坏账计提比例连续三年显著低于同业平均，是本底稿识别出的最重要的会计估计差异点。</t>
        </is>
      </c>
      <c r="C20" s="67" t="inlineStr">
        <is>
          <t>公司计提比例6.13%（2023）、6.55%（2024）、5.13%（2025），同业平均12.19%、13.81%、14.07%（见表5-3），2025年低8.94个百分点；同业中优必选高达29.29%。招股说明书解释为公司应收账款账龄相对较短、周转率相对较快、回款情况良好。2025年末应收账款前五名合计1,769.78万元（占余额28.59%），账龄全部为1年以内（见表5-4）。</t>
        </is>
      </c>
      <c r="D20" s="63" t="inlineStr">
        <is>
          <t>S1</t>
        </is>
      </c>
      <c r="E20" s="63" t="inlineStr">
        <is>
          <t>A</t>
        </is>
      </c>
      <c r="F20" s="67" t="inlineStr">
        <is>
          <t>该解释与2026年上半年经营现金流大幅下降（C-12）之间存在需要解释的张力：若回款确实良好，现金流为何与收入增速背离？此外，招股说明书未在本次提取范围内直接披露各期末应收账款账面余额，由前五大占比28.59%反推的2025年末余额约6,196万元属测算值（性质E），敏感性分析（若按同业14.07%计提将减少多少利润）必须在余额核实后才能给出。</t>
        </is>
      </c>
    </row>
    <row r="21">
      <c r="A21" s="5" t="inlineStr">
        <is>
          <t>C-14</t>
        </is>
      </c>
      <c r="B21" s="4" t="inlineStr">
        <is>
          <t>资产结构轻、杠杆低，上市后资产负债率上升主要源于经营性负债而非有息债务。</t>
        </is>
      </c>
      <c r="C21" s="4" t="inlineStr">
        <is>
          <t>资产负债率（合并）23.57%（2023）→16.19%（2024）→18.82%（2025）→25.11%（2026H1）（见表3-1、表3-3）；2025年末流动资产占总资产约69.18%；财务费用2023、2024年为负（利息收入大于支出），2025年仅98.61万元，表明几乎不存在有息负债（见表7-2、表7-5）。</t>
        </is>
      </c>
      <c r="D21" s="5" t="inlineStr">
        <is>
          <t>S1 / S2</t>
        </is>
      </c>
      <c r="E21" s="5" t="inlineStr">
        <is>
          <t>A / C</t>
        </is>
      </c>
      <c r="F21" s="4" t="inlineStr">
        <is>
          <t>招股说明书未在本次提取范围内提供负债构成明细（应付账款、合同负债、应付职工薪酬、应交税费的分项），因此“负债上升源于经营性负债”属于基于财务费用极小这一间接证据的推断，需以财务报表附注核实（见表10）。</t>
        </is>
      </c>
    </row>
    <row r="22" ht="20" customHeight="1">
      <c r="A22" s="3" t="inlineStr">
        <is>
          <t>五、研发投入与科创属性</t>
        </is>
      </c>
    </row>
    <row r="23">
      <c r="A23" s="5" t="inlineStr">
        <is>
          <t>C-15</t>
        </is>
      </c>
      <c r="B23" s="4" t="inlineStr">
        <is>
          <t>四项科创属性指标全部达标，但研发强度（研发费用率）随收入放大而快速稀释。</t>
        </is>
      </c>
      <c r="C23" s="4" t="inlineStr">
        <is>
          <t>①最近三年累计研发费用26,493.44万元 &gt; 8,000万元门槛；②研发人员184人占员工总数516人的35.66% &gt; 10%门槛；③截至2026年1月31日拥有境内发明专利20项（境内外注册专利合计262项）；④最近三年营业收入CAGR 226.78%（见表3-1、表7-6）。但研发费用率由31.39%（2023）→17.83%（2024）→8.53%（2025），研发费用÷扣非归母净利润由2024年约89.22%降至2025年约24.54%。</t>
        </is>
      </c>
      <c r="D23" s="5" t="inlineStr">
        <is>
          <t>S1</t>
        </is>
      </c>
      <c r="E23" s="5" t="inlineStr">
        <is>
          <t>A + E</t>
        </is>
      </c>
      <c r="F23" s="4" t="inlineStr">
        <is>
          <t>研发费用率下降是分母（收入）高速扩张的结果，绝对额仍在增长（4,995.18万→7,001.70万→14,496.56万元）。但募投项目中研发类合计357,759.73万元（占85.15%），其中“智能机器人模型研发项目”单项202,245.93万元，相当于2025年全年研发费用的14倍、三年累计研发费用的7.6倍，公司能否有效消化这一投入强度并转化为技术领先性，是无法从历史数据判断的前瞻性问题。</t>
        </is>
      </c>
    </row>
    <row r="24">
      <c r="A24" s="5" t="inlineStr">
        <is>
          <t>C-16</t>
        </is>
      </c>
      <c r="B24" s="4" t="inlineStr">
        <is>
          <t>人均研发投入水平较高，研发人员结构支撑“全栈自研”的商业模式主张。</t>
        </is>
      </c>
      <c r="C24" s="4" t="inlineStr">
        <is>
          <t>2025年人均研发费用约78.79万元/人（研发费用14,496.56万元 ÷ 研发人员184人，见表7-6）；研发人员占员工总数35.66%；招股说明书将其毛利率高于同业归因于“全栈自研自产降低硬件成本、规模效应及产品构成差异”。</t>
        </is>
      </c>
      <c r="D24" s="5" t="inlineStr">
        <is>
          <t>S1</t>
        </is>
      </c>
      <c r="E24" s="5" t="inlineStr">
        <is>
          <t>A + E</t>
        </is>
      </c>
      <c r="F24" s="4" t="inlineStr">
        <is>
          <t>“研发人员”的认定口径（是否包含生产端工艺人员）未在提取范围内核实；“全栈自研自产”与直接材料占成本81.73%（C-10）之间的关系需进一步理解——自研并不等于自制，核心零部件外购比例需核验。</t>
        </is>
      </c>
    </row>
    <row r="25" ht="20" customHeight="1">
      <c r="A25" s="3" t="inlineStr">
        <is>
          <t>六、发行定价、募集资金与估值</t>
        </is>
      </c>
    </row>
    <row r="26">
      <c r="A26" s="63" t="inlineStr">
        <is>
          <t>C-17</t>
        </is>
      </c>
      <c r="B26" s="67" t="inlineStr">
        <is>
          <t>本次发行定价显著高于行业与可比公司参照水平，且存在大额超募。</t>
        </is>
      </c>
      <c r="C26" s="67" t="inlineStr">
        <is>
          <t>按公告书孰低口径，发行市盈率219.23倍，为所属行业（C34通用设备制造业）最近一个月平均静态市盈率38.56倍的约5.69倍；发行市销率35.89倍，较可比公司（优必选、越疆）2025年静态市销率算术平均19.74倍溢价约82%（见表7-7、表7-10）。募集资金净额591,714.92万元较募投项目计划投入420,171.12万元超募约171,543.80万元（40.83%），超募规模与2025年全年营业收入（169,926.93万元）相当（约1.01倍）。</t>
        </is>
      </c>
      <c r="D26" s="63" t="inlineStr">
        <is>
          <t>S1 / S2</t>
        </is>
      </c>
      <c r="E26" s="63" t="inlineStr">
        <is>
          <t>A + E</t>
        </is>
      </c>
      <c r="F26" s="67" t="inlineStr">
        <is>
          <t>招股说明书以“可比上市公司均未盈利”为由选择市销率而非市盈率作为对比指标，这一方法论选择本身降低了对盈利质量的定价约束，需独立判断；公司自身在扣非口径下已实现盈利（2025年扣非归母净利59,075.28万元），因此“可比公司均未盈利”的表述并不能完全豁免市盈率对比。超募资金的具体使用安排在两份文件中均未项目化，属上市后治理跟踪事项。</t>
        </is>
      </c>
    </row>
    <row r="27">
      <c r="A27" s="5" t="inlineStr">
        <is>
          <t>C-18</t>
        </is>
      </c>
      <c r="B27" s="4" t="inlineStr">
        <is>
          <t>发行估值倍数在四种口径下差异极大（92.92倍至219.23倍），引用时必须指明口径。</t>
        </is>
      </c>
      <c r="C27" s="4" t="inlineStr">
        <is>
          <t>四个披露口径分别为：①扣非后÷发行前总股本 92.92倍；②扣非前÷发行前总股本 197.31倍；③扣非后÷发行后总股本 103.25倍；④扣非前÷发行后总股本 219.23倍（见表7-7，四者均已复算一致）。口径①与④相差2.36倍，全部差异来自“扣非前后”与“发行前后股本”两个维度的组合。</t>
        </is>
      </c>
      <c r="D27" s="5" t="inlineStr">
        <is>
          <t>S2 / S3</t>
        </is>
      </c>
      <c r="E27" s="5" t="inlineStr">
        <is>
          <t>A + E</t>
        </is>
      </c>
      <c r="F27" s="4" t="inlineStr">
        <is>
          <t>本底稿四个倍数均复算通过，但媒体与研究报告常混用口径，对外引用时应以公告书正式口径④（219.23倍）为准并注明。</t>
        </is>
      </c>
    </row>
    <row r="28">
      <c r="A28" s="5" t="inlineStr">
        <is>
          <t>C-19</t>
        </is>
      </c>
      <c r="B28" s="4" t="inlineStr">
        <is>
          <t>战略配售结构显示长期资本与产业资本深度参与，员工持股比例较高。</t>
        </is>
      </c>
      <c r="C28" s="4" t="inlineStr">
        <is>
          <t>最终战略配售8,089,286股，占本次发行数量20.00%，获配金额合计1,219,864,328.80元（见表6-2）；其中员工1号资管计划1,356,100股（159名核心员工）+ 员工2号资管计划444,297股（12名高管及核心员工），合计1,800,397股，占本次发行约4.45%、获配金额约2.71亿元；杭州深度求索获配933,399股、限售期36个月（战配中最长）；全国社保基金理事会三个组合合计获配933,402股；保荐人跟投（中证投资）808,928股、限售24个月（见表7-11）。</t>
        </is>
      </c>
      <c r="D28" s="5" t="inlineStr">
        <is>
          <t>S2</t>
        </is>
      </c>
      <c r="E28" s="5" t="inlineStr">
        <is>
          <t>A + E</t>
        </is>
      </c>
      <c r="F28" s="4" t="inlineStr">
        <is>
          <t>战略配售投资者的实际缴款、限售起止日与后续减持安排需以上市公告书原文及后续公告核验；限售期届满时点（2027年8月、2028年8月、2029年8月三批）构成可预期的流通盘扩容事件，应纳入跟踪日历。</t>
        </is>
      </c>
    </row>
    <row r="29">
      <c r="A29" s="5" t="inlineStr">
        <is>
          <t>C-20</t>
        </is>
      </c>
      <c r="B29" s="4" t="inlineStr">
        <is>
          <t>特别表决权安排使实际控制人在发行后仍掌握绝对表决权，公众股东制衡能力有限。</t>
        </is>
      </c>
      <c r="C29" s="4" t="inlineStr">
        <is>
          <t>特别表决权安排设置于2025年5月16日；王兴兴发行前直接持股23.8216%但对应表决权63.5457%，合计控制表决权68.7816%；发行后直接持股降至21.4395%，合计控制表决权65.3090%（见表6-1、表7-11）；公司适用《科创板股票上市规则》第2.1.4条第（一）款“预计市值不低于人民币100亿元”标准上市。</t>
        </is>
      </c>
      <c r="D29" s="5" t="inlineStr">
        <is>
          <t>S1</t>
        </is>
      </c>
      <c r="E29" s="5" t="inlineStr">
        <is>
          <t>A</t>
        </is>
      </c>
      <c r="F29" s="4" t="inlineStr">
        <is>
          <t>特别表决权的具体倍数、适用范围（是否及于重大事项）、以及日落条款需以公司章程原文核验；证券简称是否带“-W”标识需以交易所正式公布的简称为准。</t>
        </is>
      </c>
    </row>
    <row r="30" ht="20" customHeight="1">
      <c r="A30" s="3" t="inlineStr">
        <is>
          <t>七、二级市场表现（性质E，第三方行情）</t>
        </is>
      </c>
    </row>
    <row r="31">
      <c r="A31" s="63" t="inlineStr">
        <is>
          <t>C-21</t>
        </is>
      </c>
      <c r="B31" s="67" t="inlineStr">
        <is>
          <t>上市后股价经历了“首日暴涨—快速回落—低位震荡”的完整过程，截至资料截止日仍较发行价上涨约2.88倍。</t>
        </is>
      </c>
      <c r="C31" s="67" t="inlineStr">
        <is>
          <t>上市首日（2026-08-19）开盘即最高1,100.00元、收盘845.00元（较发行价150.80元上涨460.34%），盘中最高对应市值约4,449.11亿元、收盘市值约3,417.72亿元；此后连续回落，至2026-08-28收盘585.00元，较首日收盘下跌30.77%、较盘中最高下跌46.82%，但仍较发行价上涨287.93%，对应市值约2,366.12亿元（见表2-2、表7-9）。8个交易日累计成交额约561亿元，日均换手率约31.84%。</t>
        </is>
      </c>
      <c r="D31" s="63" t="inlineStr">
        <is>
          <t>S9 / S2</t>
        </is>
      </c>
      <c r="E31" s="63" t="inlineStr">
        <is>
          <t>E</t>
        </is>
      </c>
      <c r="F31" s="67" t="inlineStr">
        <is>
          <t>行情数据来自第三方接口，非公司或交易所的法定披露内容；样本仅8个交易日，任何关于“估值回归”“破发风险”的判断都不具备统计意义。</t>
        </is>
      </c>
    </row>
    <row r="32">
      <c r="A32" s="63" t="inlineStr">
        <is>
          <t>C-22</t>
        </is>
      </c>
      <c r="B32" s="67" t="inlineStr">
        <is>
          <t>以资料截止日前最后收盘价计，公司二级市场估值已远超发行定价与同业参照水平。</t>
        </is>
      </c>
      <c r="C32" s="67" t="inlineStr">
        <is>
          <t>按2026-08-28收盘价585.00元计算：静态市销率约139.2倍（发行市销率35.89倍，可比公司均值19.74倍）；静态市盈率约850倍（按2025年归母净利）或约401倍（按2025年扣非归母净利），行业平均静态市盈率为38.56倍（见表7-7、表7-9、表7-10）。若以2026H1营收简单年化（230,449.12万元）测算，动态市销率约103倍。</t>
        </is>
      </c>
      <c r="D32" s="63" t="inlineStr">
        <is>
          <t>S9 / S1 / S2</t>
        </is>
      </c>
      <c r="E32" s="63" t="inlineStr">
        <is>
          <t>A + C + E</t>
        </is>
      </c>
      <c r="F32" s="67" t="inlineStr">
        <is>
          <t>动态市销率依赖“上半年×2”的机械年化，未调整Q4占比偏高的季节性（C-06），敏感性极高，仅供内部参考；严禁将其表述为对公司2026年全年业绩的预测。市值与倍数测算必须标注行情时点（2026-08-28收盘）。</t>
        </is>
      </c>
    </row>
    <row r="33" ht="20" customHeight="1">
      <c r="A33" s="3" t="inlineStr">
        <is>
          <t>八、同业竞争地位</t>
        </is>
      </c>
    </row>
    <row r="34">
      <c r="A34" s="5" t="inlineStr">
        <is>
          <t>C-23</t>
        </is>
      </c>
      <c r="B34" s="4" t="inlineStr">
        <is>
          <t>在四家可比公司中，公司2025年营收排名第二、毛利率与成长性均排名第一。</t>
        </is>
      </c>
      <c r="C34" s="4" t="inlineStr">
        <is>
          <t>2025年营业收入：优必选200,099.90万元 &gt; 宇树169,926.93万元 &gt; 越疆49,348.30万元 &gt; 云深处33,749.06万元 &gt; 乐聚智能25,818.79万元；宇树为可比公司平均值（77,254.01万元）的2.20倍。综合毛利率：宇树60.44% &gt; 云深处52.83% &gt; 越疆46.49% &gt; 乐聚智能40.78% &gt; 优必选37.67%（平均44.44%）。2023→2025营收CAGR：宇树约226.78% &gt; 云深处约159.51% &gt; 乐聚智能约118.68% &gt; 优必选约37.67% &gt; 越疆约31.13%（见表7-10）。</t>
        </is>
      </c>
      <c r="D34" s="5" t="inlineStr">
        <is>
          <t>S1</t>
        </is>
      </c>
      <c r="E34" s="5" t="inlineStr">
        <is>
          <t>A + E</t>
        </is>
      </c>
      <c r="F34" s="4" t="inlineStr">
        <is>
          <t>可比公司业务结构差异大（越疆以协作机器人为主、云深处以四足及轮足为主、优必选含教育与物流消费类业务），直接对比毛利率的口径一致性有限；优必选、越疆为港股上市公司，其财务数据按招股说明书采用的汇率折算，折算口径需核验（招股书载明按2026-08-05中间价1港元=0.86562人民币）。</t>
        </is>
      </c>
    </row>
    <row r="35">
      <c r="A35" s="63" t="inlineStr">
        <is>
          <t>C-24</t>
        </is>
      </c>
      <c r="B35" s="67" t="inlineStr">
        <is>
          <t>人形机器人收入占比51.78%，公司在该细分赛道的商业化进度领先于已披露的可比公司。</t>
        </is>
      </c>
      <c r="C35" s="67" t="inlineStr">
        <is>
          <t>2025年宇树人形机器人主营业务收入86,783.19万元，占主营业务收入51.78%、销量5,215台；优必选人形机器人收入占比由上年2.7%升至41.1%；越疆、云深处人形机器人收入占比均未超过5%；乐聚智能2025年全尺寸人形机器人成为主要收入来源（未披露具体比例）（见表4-1、表5-2）。</t>
        </is>
      </c>
      <c r="D35" s="63" t="inlineStr">
        <is>
          <t>S1</t>
        </is>
      </c>
      <c r="E35" s="63" t="inlineStr">
        <is>
          <t>A</t>
        </is>
      </c>
      <c r="F35" s="67" t="inlineStr">
        <is>
          <t>招股说明书概览部分称2025年人形机器人“出货量已超5,500台（纯人形，不含轮式双臂机器人），出货量全球第一”，该“全球第一”为出货量口径且未见独立第三方数据支持，引用时必须同时注明口径与出处；财务口径销量为5,215台，两者相差约300台，不可混用（见表10）。</t>
        </is>
      </c>
    </row>
    <row r="36" ht="20" customHeight="1">
      <c r="A36" s="3" t="inlineStr">
        <is>
          <t>九、必须避免的表述错误（事实与预测的边界）</t>
        </is>
      </c>
    </row>
    <row r="37">
      <c r="A37" s="63" t="inlineStr">
        <is>
          <t>C-25</t>
        </is>
      </c>
      <c r="B37" s="67" t="inlineStr">
        <is>
          <t>招股说明书披露的2026年1-6月“预计数”是管理层估计，不是已实现业绩，任何场合不得表述为事实。</t>
        </is>
      </c>
      <c r="C37" s="67" t="inlineStr">
        <is>
          <t>预计区间：营业收入105,200–112,800万元、归母净利润25,800–30,600万元、扣非归母净利润23,600–28,300万元（见表3-4，性质D）。上市公告书披露的实际数：营业总收入115,224.56万元、归母净利润27,399.99万元、扣非归母净利润24,393.03万元（见表3-3，性质C）。对比结果（见表7-8）：实际营收超出预计上限约2.15%（超出区间）；实际归母净利润与扣非归母净利润均落在预计区间内。</t>
        </is>
      </c>
      <c r="D37" s="63" t="inlineStr">
        <is>
          <t>S1 / S2</t>
        </is>
      </c>
      <c r="E37" s="63" t="inlineStr">
        <is>
          <t>D vs C</t>
        </is>
      </c>
      <c r="F37" s="67" t="inlineStr">
        <is>
          <t>招股说明书原文：“上述2026年1-6月财务数据预计为管理层对经营状况的合理估计，不代表公司最终实现的营业收入及净利润，相关数据未经会计师审计或审阅，不构成公司的盈利预测或业绩承诺。”禁止表述：“公司完成了盈利预测”“业绩超预期兑现”“预计营收11.28亿元”（后者在已有实际数时属于误用旧口径）。</t>
        </is>
      </c>
    </row>
    <row r="38">
      <c r="A38" s="63" t="inlineStr">
        <is>
          <t>C-26</t>
        </is>
      </c>
      <c r="B38" s="67" t="inlineStr">
        <is>
          <t>2026年上半年数据虽为实际发生数，但未经审计，且不会有后续的半年报可供验证。</t>
        </is>
      </c>
      <c r="C38" s="67" t="inlineStr">
        <is>
          <t>上市公告书载明2026年1-6月主要财务数据未经审计，并明示公司本次发行上市后不再另行披露2026年半年度报告（见表3-3）。同期2026年1-3月数据经容诚会计师事务所审阅（容诚阅字[2026]230Z0038号，性质B）。</t>
        </is>
      </c>
      <c r="D38" s="63" t="inlineStr">
        <is>
          <t>S1 / S2</t>
        </is>
      </c>
      <c r="E38" s="63" t="inlineStr">
        <is>
          <t>B / C</t>
        </is>
      </c>
      <c r="F38" s="67" t="inlineStr">
        <is>
          <t>所有基于2026H1数据的比率、增速、年化测算，引用时必须标注“未经审计”；下一可验证的经审计数据节点为2026年年度报告（预计2027年披露），在此之前的任何2026年全年判断均属推测。</t>
        </is>
      </c>
    </row>
    <row r="39">
      <c r="A39" s="5" t="inlineStr">
        <is>
          <t>C-27</t>
        </is>
      </c>
      <c r="B39" s="4" t="inlineStr">
        <is>
          <t>本底稿的资料截止日为2026-08-30，此后发生的事项一律未纳入，不构成遗漏。</t>
        </is>
      </c>
      <c r="C39" s="4" t="inlineStr">
        <is>
          <t>已排除的事项包括：2026-08-31及之后的全部行情数据；2026-09-03披露的公司章程、变更注册资本公告等文件（见表2-2附注、表7-9附注）。纳入的最后交易日为2026-08-28（08-29、08-30为周末）。</t>
        </is>
      </c>
      <c r="D39" s="5" t="inlineStr">
        <is>
          <t>—</t>
        </is>
      </c>
      <c r="E39" s="5" t="inlineStr">
        <is>
          <t>—</t>
        </is>
      </c>
      <c r="F39" s="4" t="inlineStr">
        <is>
          <t>如需更新，应以2026-08-30为界重新执行取数，并同步更新表7-9的行情测算与表9结论C-21、C-22。</t>
        </is>
      </c>
    </row>
  </sheetData>
  <mergeCells count="11">
    <mergeCell ref="A2:F2"/>
    <mergeCell ref="A33:F33"/>
    <mergeCell ref="A36:F36"/>
    <mergeCell ref="A14:F14"/>
    <mergeCell ref="A1:F1"/>
    <mergeCell ref="A8:F8"/>
    <mergeCell ref="A22:F22"/>
    <mergeCell ref="A18:F18"/>
    <mergeCell ref="A4:F4"/>
    <mergeCell ref="A30:F30"/>
    <mergeCell ref="A25:F25"/>
  </mergeCells>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G35"/>
  <sheetViews>
    <sheetView showGridLines="0" workbookViewId="0">
      <selection activeCell="A1" sqref="A1"/>
    </sheetView>
  </sheetViews>
  <sheetFormatPr baseColWidth="8" defaultRowHeight="15"/>
  <cols>
    <col width="8" customWidth="1" min="1" max="1"/>
    <col width="40" customWidth="1" min="2" max="2"/>
    <col width="15" customWidth="1" min="3" max="3"/>
    <col width="46" customWidth="1" min="4" max="4"/>
    <col width="50" customWidth="1" min="5" max="5"/>
    <col width="44" customWidth="1" min="6" max="6"/>
    <col width="10" customWidth="1" min="7" max="7"/>
  </cols>
  <sheetData>
    <row r="1" ht="26" customHeight="1">
      <c r="A1" s="21" t="inlineStr">
        <is>
          <t>待人工核验事项清单（共18项，按优先级排序）</t>
        </is>
      </c>
    </row>
    <row r="2" ht="26" customHeight="1">
      <c r="A2" s="9" t="inlineStr">
        <is>
          <t>本清单列出所有因取数渠道限制、口径歧义、数据缺失或性质为测算/预测而必须经人工复核后方可对外使用的事项。“优先级”分为：高＝影响核心结论或涉及事实与预测的边界；中＝影响比率精度或可比性；低＝表述规范与格式类。“对应底稿位置”可直接定位到需要修订的表与行。</t>
        </is>
      </c>
    </row>
    <row r="3" ht="30" customHeight="1">
      <c r="A3" s="7" t="inlineStr">
        <is>
          <t>编号</t>
        </is>
      </c>
      <c r="B3" s="7" t="inlineStr">
        <is>
          <t>待核验事项</t>
        </is>
      </c>
      <c r="C3" s="7" t="inlineStr">
        <is>
          <t>类型</t>
        </is>
      </c>
      <c r="D3" s="7" t="inlineStr">
        <is>
          <t>当前底稿的处理方式</t>
        </is>
      </c>
      <c r="E3" s="7" t="inlineStr">
        <is>
          <t>为何需要人工核验</t>
        </is>
      </c>
      <c r="F3" s="7" t="inlineStr">
        <is>
          <t>建议核验动作（含具体文件与章节）</t>
        </is>
      </c>
      <c r="G3" s="7" t="inlineStr">
        <is>
          <t>优先级</t>
        </is>
      </c>
    </row>
    <row r="4">
      <c r="A4" s="63" t="inlineStr">
        <is>
          <t>V-01</t>
        </is>
      </c>
      <c r="B4" s="67" t="inlineStr">
        <is>
          <t>两份核心 PDF 并非直接取自上海证券交易所官网</t>
        </is>
      </c>
      <c r="C4" s="63" t="inlineStr">
        <is>
          <t>来源权威性</t>
        </is>
      </c>
      <c r="D4" s="67" t="inlineStr">
        <is>
          <t>招股说明书（382页，2026-08-14披露）与上市公告书（90页，2026-08-18披露）的 PDF 文件取自东方财富信息披露镜像（pdf.dfcfw.com，art_code 分别为 AN202608131827947910、AN202608171828062024）。全部财务与业务数据均逐字提取自这两份 PDF 原文表格，未使用任何二手财经媒体的转述数据。尝试通过上交所官方公告接口（query.sse.com.cn，productId=688836）获取时返回 total:0、result:[]，未能取得官方托管副本。</t>
        </is>
      </c>
      <c r="E4" s="67" t="inlineStr">
        <is>
          <t>虽然镜像文件与上交所披露内容通常一致，但镜像存在版本滞后、页面缺漏或被替换的理论风险；本底稿的一切结论都建立在这两份文件之上，属单点依赖。</t>
        </is>
      </c>
      <c r="F4" s="67" t="inlineStr">
        <is>
          <t>在 www.sse.com.cn「披露」→「上市公司信息」→「科创板的股票」中检索证券代码688836，下载《首次公开发行股票并在科创板上市招股说明书》与《首次公开发行股票科创板上市公告书》官方 PDF，与本底稿所用文件做逐页比对（重点核对表3-1、表3-2、表3-3、表3-4、发行结果与募投项目页），并核对文件 MD5。</t>
        </is>
      </c>
      <c r="G4" s="63" t="inlineStr">
        <is>
          <t>高</t>
        </is>
      </c>
    </row>
    <row r="5">
      <c r="A5" s="63" t="inlineStr">
        <is>
          <t>V-02</t>
        </is>
      </c>
      <c r="B5" s="67" t="inlineStr">
        <is>
          <t>2026年上半年数据未经审计，且不会有后续半年报验证</t>
        </is>
      </c>
      <c r="C5" s="63" t="inlineStr">
        <is>
          <t>数据性质</t>
        </is>
      </c>
      <c r="D5" s="67" t="inlineStr">
        <is>
          <t>表3-3全部行标注性质C，表7-1、表7-2、表7-5、表7-8中涉及2026H1的列均标注“C”，并在附注中说明公司不再单独披露2026年半年报。</t>
        </is>
      </c>
      <c r="E5" s="67" t="inlineStr">
        <is>
          <t>上市公告书披露的2026年1-6月营业总收入115,224.56万元、归母净利润27,399.99万元、扣非归母净利润24,393.03万元、经营现金流净额23,154.53万元均为未经审计数。结论C-03、C-12（收入与利润/现金流背离）完全建立在这些数据之上。</t>
        </is>
      </c>
      <c r="F5" s="67" t="inlineStr">
        <is>
          <t>①核对上市公告书原文表格数字与本底稿表3-3是否逐字一致；②确认公告书中“不再另行披露2026年半年度报告”的表述原文；③将2026H1未审数据列入跟踪日历，以2026年年度报告（预计2027年披露）为唯一验证节点。</t>
        </is>
      </c>
      <c r="G5" s="63" t="inlineStr">
        <is>
          <t>高</t>
        </is>
      </c>
    </row>
    <row r="6">
      <c r="A6" s="63" t="inlineStr">
        <is>
          <t>V-03</t>
        </is>
      </c>
      <c r="B6" s="67" t="inlineStr">
        <is>
          <t>招股说明书中的2026年1-6月“预计数”属性质D，存在被误引为事实的风险</t>
        </is>
      </c>
      <c r="C6" s="63" t="inlineStr">
        <is>
          <t>事实/预测边界</t>
        </is>
      </c>
      <c r="D6" s="67" t="inlineStr">
        <is>
          <t>表3-4整表以橙色底纹标示，标题直接写明“【预测数据·非事实】”，并逐字附上招股说明书“不构成公司的盈利预测或业绩承诺”的原文；表7-8将预计与实际分列对比；结论C-25单列禁止表述清单。</t>
        </is>
      </c>
      <c r="E6" s="67" t="inlineStr">
        <is>
          <t>预计营业收入105,200–112,800万元与实际115,224.56万元并不相同，实际已超出预计上限。若引用时未区分，将同时构成“把预测当事实”与“用过时的预计数覆盖已知实际数”两类错误。</t>
        </is>
      </c>
      <c r="F6" s="67" t="inlineStr">
        <is>
          <t>①核对招股说明书“重大事项提示”或“财务报告审计截止日后主要经营状况”章节中该预计表的原文与警示语；②对外材料中一律使用表3-3的实际数（性质C），并在脚注说明其未经审计；③检查是否有任何下游文档仍引用105,200–112,800万元区间。</t>
        </is>
      </c>
      <c r="G6" s="63" t="inlineStr">
        <is>
          <t>高</t>
        </is>
      </c>
    </row>
    <row r="7">
      <c r="A7" s="63" t="inlineStr">
        <is>
          <t>V-04</t>
        </is>
      </c>
      <c r="B7" s="67" t="inlineStr">
        <is>
          <t>人形机器人“出货量超5,500台（全球第一）”与“销量5,215台”的口径差异</t>
        </is>
      </c>
      <c r="C7" s="63" t="inlineStr">
        <is>
          <t>口径歧义</t>
        </is>
      </c>
      <c r="D7" s="67" t="inlineStr">
        <is>
          <t>表4-3附注已用橙色标出两个口径，明确“引用全球第一表述时必须使用出货量口径并注明，进行收入测算时必须使用5,215台销量口径”；结论C-24、图表数据区5均使用5,215台；表7-4量价拆解亦基于5,215台。</t>
        </is>
      </c>
      <c r="E7" s="67" t="inlineStr">
        <is>
          <t>两者相差约300台（约5.5%）。招股说明书概览部分以出货量口径主张“出货量全球第一”，而主营业务收入口径的销量为5,215台。差额可能来自发出商品、样机、试用机或期后确认收入。值得注意的是2025年末发出商品账面价值恰为3,678.85万元，按2025年人形机器人平均单价16.64万元/台测算约相当于221台，与300台的差额方向一致但不足以完全解释。</t>
        </is>
      </c>
      <c r="F7" s="67" t="inlineStr">
        <is>
          <t>①核对招股说明书“第二节 概览”与“第六节 财务会计信息”中两处表述的原文；②查阅财务报表附注“营业收入—主营业务收入”明细与“存货—发出商品”明细，确认差额的具体构成；③核实“全球第一”是否有第三方研究机构（如IFR、CIER、行业白皮书）数据支持，若无则引用时必须标注为公司自述。</t>
        </is>
      </c>
      <c r="G7" s="63" t="inlineStr">
        <is>
          <t>高</t>
        </is>
      </c>
    </row>
    <row r="8">
      <c r="A8" s="63" t="inlineStr">
        <is>
          <t>V-05</t>
        </is>
      </c>
      <c r="B8" s="67" t="inlineStr">
        <is>
          <t>2025年末应收账款账面余额为反推测算值，未经原文确认</t>
        </is>
      </c>
      <c r="C8" s="63" t="inlineStr">
        <is>
          <t>数据缺失/测算</t>
        </is>
      </c>
      <c r="D8" s="67" t="inlineStr">
        <is>
          <t>表5-4附注与表7-5均已用橙色标明：由前五大应收账款合计1,769.78万元占比28.59%反推余额约6,196万元，标注为性质E·测算；表7-5“应收账款周转率”一行留空并注明“数据缺失，暂不计算”。</t>
        </is>
      </c>
      <c r="E8" s="67" t="inlineStr">
        <is>
          <t>应收账款余额是计算周转率、以及评估“坏账计提比例低于同业”（结论C-13）影响程度的必要输入。若实际余额显著高于6,196万元，则按同业平均14.07%计提的利润影响将同步放大。</t>
        </is>
      </c>
      <c r="F8" s="67" t="inlineStr">
        <is>
          <t>在招股说明书“第六节 财务会计信息与管理层分析”中定位“应收账款”小节，取得2023、2024、2025年各期末应收账款账面余额、账龄结构表与坏账准备明细，回填表7-5并补算周转率与敏感性。</t>
        </is>
      </c>
      <c r="G8" s="63" t="inlineStr">
        <is>
          <t>高</t>
        </is>
      </c>
    </row>
    <row r="9">
      <c r="A9" s="63" t="inlineStr">
        <is>
          <t>V-06</t>
        </is>
      </c>
      <c r="B9" s="67" t="inlineStr">
        <is>
          <t>坏账计提比例显著低于同业，缺乏可独立验证的解释</t>
        </is>
      </c>
      <c r="C9" s="63" t="inlineStr">
        <is>
          <t>会计估计判断</t>
        </is>
      </c>
      <c r="D9" s="67" t="inlineStr">
        <is>
          <t>表5-3完整录入公司与四家可比公司三年计提比例，表7-5计算了差额（2025年低8.94个百分点），结论C-13将其列为最重要的会计估计差异点，并指出其与经营现金流背离之间的张力。</t>
        </is>
      </c>
      <c r="E9" s="67" t="inlineStr">
        <is>
          <t>公司2025年计提比例5.13%，而优必选为29.29%、越疆11.09%、云深处9.70%、乐聚智能6.20%，平均14.07%。招股说明书的解释（账龄较短、周转较快、回款良好）为定性表述，未提供账龄分布数据支撑。同时2026H1经营现金流同比−32.53%与“回款良好”的表述需要调和。</t>
        </is>
      </c>
      <c r="F9" s="67" t="inlineStr">
        <is>
          <t>①取得招股说明书中应收账款账龄分布表与迁徙率/损失率测算表；②核对2026H1应收账款与合同资产的变动（若有）；③以确认后的余额测算“按同业平均计提”对2025年利润总额的敏感性影响，补入表7-5。</t>
        </is>
      </c>
      <c r="G9" s="63" t="inlineStr">
        <is>
          <t>高</t>
        </is>
      </c>
    </row>
    <row r="10">
      <c r="A10" s="89" t="inlineStr">
        <is>
          <t>V-07</t>
        </is>
      </c>
      <c r="B10" s="90" t="inlineStr">
        <is>
          <t>2023、2024年存货数据及2024年末应收账款余额未提取</t>
        </is>
      </c>
      <c r="C10" s="89" t="inlineStr">
        <is>
          <t>数据缺失</t>
        </is>
      </c>
      <c r="D10" s="90" t="inlineStr">
        <is>
          <t>表3-1中2023、2024年“存货（账面价值）”行留空（仅2025年有值36,775.34万元）；表7-5存货周转率一行标注“数据缺失”，仅给出2025年以期末存货近似的非标准口径值。</t>
        </is>
      </c>
      <c r="E10" s="90" t="inlineStr">
        <is>
          <t>缺失期初数导致存货周转率、存货增速、以及存货占收入比例等营运能力指标无法进行时序分析；而存货恰恰是高速放量企业最需要跟踪的科目（结论C-11）。</t>
        </is>
      </c>
      <c r="F10" s="90" t="inlineStr">
        <is>
          <t>在招股说明书财务报表附注中取得2023-12-31、2024-12-31的存货明细表（原材料/在产品/库存商品/发出商品/跌价准备），回填表3-1并将表7-5存货周转率改为标准平均余额口径。</t>
        </is>
      </c>
      <c r="G10" s="89" t="inlineStr">
        <is>
          <t>中</t>
        </is>
      </c>
    </row>
    <row r="11">
      <c r="A11" s="89" t="inlineStr">
        <is>
          <t>V-08</t>
        </is>
      </c>
      <c r="B11" s="90" t="inlineStr">
        <is>
          <t>负债构成明细缺失，“负债上升源于经营性负债”属间接推断</t>
        </is>
      </c>
      <c r="C11" s="89" t="inlineStr">
        <is>
          <t>数据缺失/推断</t>
        </is>
      </c>
      <c r="D11" s="90" t="inlineStr">
        <is>
          <t>结论C-14已在“局限”列明确标注该判断基于“财务费用极小（2025年仅98.61万元）”这一间接证据，并注明需以财务报表附注核实。</t>
        </is>
      </c>
      <c r="E11" s="90" t="inlineStr">
        <is>
          <t>2026H1负债总额较上年末+59.88%、流动负债+55.57%、资产负债率由18.82%升至25.11%，但披露摘要未提供应付账款、合同负债、应付职工薪酬、应交税费、短期借款的分项数据。若其中包含有息负债或大额关联方借款，结论需要修正。</t>
        </is>
      </c>
      <c r="F11" s="90" t="inlineStr">
        <is>
          <t>查阅招股说明书合并资产负债表全部科目、以及上市公告书2026年6月30日资产负债表（若有），取得负债分项；重点确认是否存在短期借款、长期借款、应付债券。</t>
        </is>
      </c>
      <c r="G11" s="89" t="inlineStr">
        <is>
          <t>中</t>
        </is>
      </c>
    </row>
    <row r="12">
      <c r="A12" s="89" t="inlineStr">
        <is>
          <t>V-09</t>
        </is>
      </c>
      <c r="B12" s="90" t="inlineStr">
        <is>
          <t>网下配售10%限售6个月的推断未以上市公告书股本结构表原文验证</t>
        </is>
      </c>
      <c r="C12" s="89" t="inlineStr">
        <is>
          <t>口径推断</t>
        </is>
      </c>
      <c r="D12" s="90" t="inlineStr">
        <is>
          <t>表7-9以公式测算上市首日无限售条件流通股约30,092,133股，并用首日成交量反算换手率约85.26%，与披露的85.28%基本吻合（差0.02个百分点），以此作为推断的反向验证；该行同时标注“需以《上市公告书》股本结构表原文核验”。</t>
        </is>
      </c>
      <c r="E12" s="90" t="inlineStr">
        <is>
          <t>该推断影响首日换手率、流通市值、以及后续解禁节奏的判断。虽然换手率校验高度吻合，但仍属间接验证而非直接披露。</t>
        </is>
      </c>
      <c r="F12" s="90" t="inlineStr">
        <is>
          <t>在上市公告书中定位“本次发行前后的股本结构”或“无限售条件流通股数量”表，直接取得2026-08-19上市首日无限售条件流通股数量与网下限售股数量，回填表7-9并将性质由E改为A。</t>
        </is>
      </c>
      <c r="G12" s="89" t="inlineStr">
        <is>
          <t>中</t>
        </is>
      </c>
    </row>
    <row r="13">
      <c r="A13" s="89" t="inlineStr">
        <is>
          <t>V-10</t>
        </is>
      </c>
      <c r="B13" s="90" t="inlineStr">
        <is>
          <t>行情数据来自第三方接口，非法定披露内容</t>
        </is>
      </c>
      <c r="C13" s="89" t="inlineStr">
        <is>
          <t>来源权威性</t>
        </is>
      </c>
      <c r="D13" s="90" t="inlineStr">
        <is>
          <t>表2-2与表7-9全部行情行标注性质E、来源S9，附注明确“不属于发行人或上海证券交易所的法定信息披露内容”；结论C-21、C-22亦标注来源为S9。</t>
        </is>
      </c>
      <c r="E13" s="90" t="inlineStr">
        <is>
          <t>首日收盘价845.00元、盘中最高1,100.00元、2026-08-28收盘价585.00元、成交量与成交额、换手率均来自第三方行情接口。基于这些价格测算的市值（3,417.72亿/4,449.11亿/2,366.12亿元）与静态市盈率、市销率全部为衍生结果。</t>
        </is>
      </c>
      <c r="F13" s="90" t="inlineStr">
        <is>
          <t>以上海证券交易所官网或 Wind/Choice 终端的688836日线数据逐日核对2026-08-19至2026-08-28的开高低收、成交量、成交额、换手率；核对是否涉及除权除息调整（上市初期通常无）。</t>
        </is>
      </c>
      <c r="G13" s="89" t="inlineStr">
        <is>
          <t>中</t>
        </is>
      </c>
    </row>
    <row r="14">
      <c r="A14" s="89" t="inlineStr">
        <is>
          <t>V-11</t>
        </is>
      </c>
      <c r="B14" s="90" t="inlineStr">
        <is>
          <t>2026年1-3月与1-6月研发费用仅披露同比增额，未披露绝对值</t>
        </is>
      </c>
      <c r="C14" s="89" t="inlineStr">
        <is>
          <t>数据缺失</t>
        </is>
      </c>
      <c r="D14" s="90" t="inlineStr">
        <is>
          <t>表3-2、表3-3分别录入“研发费用同比增加额3,832.80万元”“8,203.74万元”，表7-1与表7-6在2026Q1/H1列注明“仅披露同比增额”，未反推绝对值，也未据此计算研发费用率。</t>
        </is>
      </c>
      <c r="E14" s="90" t="inlineStr">
        <is>
          <t>研发投入是判断结论C-03（收入增而利润减）成因的关键变量之一。若按增额反推，2026H1研发费用约在1.5亿元量级，但这属于推算而非披露，本底稿刻意不做。</t>
        </is>
      </c>
      <c r="F14" s="90" t="inlineStr">
        <is>
          <t>核对招股说明书“财务报告审计截止日后主要财务信息”与上市公告书相关段落原文，确认是否在其他位置（如管理层讨论、研发费用明细表）披露了2026年1-6月研发费用绝对值。</t>
        </is>
      </c>
      <c r="G14" s="89" t="inlineStr">
        <is>
          <t>中</t>
        </is>
      </c>
    </row>
    <row r="15">
      <c r="A15" s="89" t="inlineStr">
        <is>
          <t>V-12</t>
        </is>
      </c>
      <c r="B15" s="90" t="inlineStr">
        <is>
          <t>宇树科技官方网站等公司自有公开资料未纳入本次取数</t>
        </is>
      </c>
      <c r="C15" s="89" t="inlineStr">
        <is>
          <t>来源覆盖</t>
        </is>
      </c>
      <c r="D15" s="90" t="inlineStr">
        <is>
          <t>表01资料来源清单中列示了“宇树科技官网（S10）”作为补充来源，但本底稿全部数据实际仅取自 S1–S9，未从官网提取任何数据；所有产品定价、出货量、市场份额类主张均以招股说明书披露为准。</t>
        </is>
      </c>
      <c r="E15" s="90" t="inlineStr">
        <is>
          <t>用户要求“优先使用上交所披露文件与宇树科技官方公开资料”。官网可能包含产品定价、新品发布、出货量与全球排名等公司自述信息，可用于交叉验证 V-04 的出货量口径与 C-24 的市场地位结论。</t>
        </is>
      </c>
      <c r="F15" s="90" t="inlineStr">
        <is>
          <t>访问 unitree.com（及中文站）核对：①在售产品型号与官方标价（与表7-4测算单价16.64万元/台、3.03万元/台对比）；②新闻/媒体中心关于2025年出货量的自述；③是否披露2026年新品或产能规划。核对后在表01补充实际引用日期与页面路径。</t>
        </is>
      </c>
      <c r="G15" s="89" t="inlineStr">
        <is>
          <t>中</t>
        </is>
      </c>
    </row>
    <row r="16">
      <c r="A16" s="89" t="inlineStr">
        <is>
          <t>V-13</t>
        </is>
      </c>
      <c r="B16" s="90" t="inlineStr">
        <is>
          <t>特别表决权的具体倍数、适用范围与日落条款未提取</t>
        </is>
      </c>
      <c r="C16" s="89" t="inlineStr">
        <is>
          <t>数据缺失</t>
        </is>
      </c>
      <c r="D16" s="90" t="inlineStr">
        <is>
          <t>表6-1录入设置时点（2025-05-16）、王兴兴发行前后直接持股比例与合计控制表决权比例（68.7816%/65.3090%）；结论C-20的“局限”列注明具体倍数、适用范围与日落条款需以公司章程核验。</t>
        </is>
      </c>
      <c r="E16" s="90" t="inlineStr">
        <is>
          <t>表决权比例与持股比例的差异（发行后21.4395%持股对应65.3090%表决权）隐含了特别表决权倍数，但招股说明书摘要未直接给出“A类股份每份表决权对应B类股份多少份”、是否适用于修改章程/合并分立等重大事项、以及是否存在日落或转换条款。这些直接决定公众股东的实际制衡能力。</t>
        </is>
      </c>
      <c r="F16" s="90" t="inlineStr">
        <is>
          <t>查阅招股说明书“公司治理”章节与2026-09-03披露的《公司章程》（该文件超出资料截止日，若使用需先更新截止日声明），取得特别表决权股份的具体安排条款。</t>
        </is>
      </c>
      <c r="G16" s="89" t="inlineStr">
        <is>
          <t>中</t>
        </is>
      </c>
    </row>
    <row r="17">
      <c r="A17" s="89" t="inlineStr">
        <is>
          <t>V-14</t>
        </is>
      </c>
      <c r="B17" s="90" t="inlineStr">
        <is>
          <t>可比公司财务数据的汇率折算与口径一致性</t>
        </is>
      </c>
      <c r="C17" s="89" t="inlineStr">
        <is>
          <t>口径一致性</t>
        </is>
      </c>
      <c r="D17" s="90" t="inlineStr">
        <is>
          <t>表5-2直接采用招股说明书同业对比表数据，并在附注中保留“优必选、越疆为港股，按2026-08-05中间价1港元=0.86562人民币折算”的披露口径；结论C-23的“局限”列注明业务结构差异限制了对比有效性。</t>
        </is>
      </c>
      <c r="E17" s="90" t="inlineStr">
        <is>
          <t>优必选、越疆按港股会计准则（HKFRS/IFRS）编制报表，与A股企业会计准则在收入确认、研发支出资本化、股份支付等方面可能存在差异；折算汇率为单一时点汇率而非期间平均汇率。两者都会影响毛利率与营收CAGR的可比性。</t>
        </is>
      </c>
      <c r="F17" s="90" t="inlineStr">
        <is>
          <t>①核对招股说明书同业对比表的编制说明与汇率口径原文；②如条件允许，从优必选（9880.HK）、越疆（2432.HK）年报直接取得按IFRS编制的收入与毛利数据，用期间平均汇率重算，与本底稿表7-10对比。</t>
        </is>
      </c>
      <c r="G17" s="89" t="inlineStr">
        <is>
          <t>中</t>
        </is>
      </c>
    </row>
    <row r="18">
      <c r="A18" s="89" t="inlineStr">
        <is>
          <t>V-15</t>
        </is>
      </c>
      <c r="B18" s="90" t="inlineStr">
        <is>
          <t>股份支付费用34,906.55万元的公允价值假设未提取</t>
        </is>
      </c>
      <c r="C18" s="89" t="inlineStr">
        <is>
          <t>数据缺失</t>
        </is>
      </c>
      <c r="D18" s="90" t="inlineStr">
        <is>
          <t>表3-1录入该金额及其归属（计入管理费用、属非经常性损益、无现金流出），表7-2据此测算剔除后的管理费用率约2.97%，结论C-02以其为核心。但未提取股份支付的公允价值确定方法、估值模型、关键假设（波动率、无风险利率、预期期限）与授予日。</t>
        </is>
      </c>
      <c r="E18" s="90" t="inlineStr">
        <is>
          <t>该金额是2025年归母净利润被压低31,254.23万元的唯一主因，也是2026年同比失真的根源。若公允价值假设激进或保守，会直接影响“扣非净利59,075.28万元”所代表的真实盈利能力判断。同时它与2025年6月融资投后估值127亿元之间存在直接的定价关联。</t>
        </is>
      </c>
      <c r="F18" s="90" t="inlineStr">
        <is>
          <t>查阅招股说明书财务报表附注“股份支付”专项说明与“第五节 发行人基本情况”中上海宇翼两次增资的价格、评估方法与估值依据，取得公允价值确定过程。</t>
        </is>
      </c>
      <c r="G18" s="89" t="inlineStr">
        <is>
          <t>中</t>
        </is>
      </c>
    </row>
    <row r="19">
      <c r="A19" s="89" t="inlineStr">
        <is>
          <t>V-16</t>
        </is>
      </c>
      <c r="B19" s="90" t="inlineStr">
        <is>
          <t>超募资金171,543.80万元的使用安排未见项目化披露</t>
        </is>
      </c>
      <c r="C19" s="89" t="inlineStr">
        <is>
          <t>披露缺口</t>
        </is>
      </c>
      <c r="D19" s="90" t="inlineStr">
        <is>
          <t>表7-7以公式测算超募金额与超募比例（40.83%），并在附注中说明“招股说明书与上市公告书未对超募部分作出具体的项目化安排”；结论C-17将其列为上市后治理跟踪事项。</t>
        </is>
      </c>
      <c r="E19" s="90" t="inlineStr">
        <is>
          <t>募集资金净额591,714.92万元 &gt; 募投项目计划投入420,171.12万元。超募部分的存放方式、是否用于永久补充流动资金、是否变更募投项目，均需董事会与股东大会审议并公告，属于影响股东回报的重大事项。</t>
        </is>
      </c>
      <c r="F19" s="90" t="inlineStr">
        <is>
          <t>①核对招股说明书“募集资金运用”章节是否有超募资金安排的表述；②跟踪上市后（2026-08-19之后）关于募集资金存放与实际使用情况的专项报告、以及任何变更募投项目或使用超募资金补充流动资金的公告。</t>
        </is>
      </c>
      <c r="G19" s="89" t="inlineStr">
        <is>
          <t>中</t>
        </is>
      </c>
    </row>
    <row r="20">
      <c r="A20" s="5" t="inlineStr">
        <is>
          <t>V-17</t>
        </is>
      </c>
      <c r="B20" s="4" t="inlineStr">
        <is>
          <t>前五大客户中匿名境外客户的身份与最终销售实现情况无法核实</t>
        </is>
      </c>
      <c r="C20" s="5" t="inlineStr">
        <is>
          <t>披露限制</t>
        </is>
      </c>
      <c r="D20" s="4" t="inlineStr">
        <is>
          <t>表5-1按招股说明书原文录入客户名称（多家为“境外客户X（地区）”形式），并保留“不存在向单个客户销售超过50%”“与前五大客户无关联关系”的披露结论；结论C-05在“局限”列注明无法独立核实其身份与最终销售实现。</t>
        </is>
      </c>
      <c r="E20" s="4" t="inlineStr">
        <is>
          <t>2025年前五大客户中三家为匿名境外客户（欧洲N、亚洲A、亚洲B），合计占8.40%；2023、2024年前五大亦以匿名境外客户为主。若其中包含经销商，则存在渠道压货与最终销售未实现的可能，直接影响收入质量判断（与C-08经销占比上升的线索相关联）。</t>
        </is>
      </c>
      <c r="F20" s="4" t="inlineStr">
        <is>
          <t>①核对招股说明书“主要客户情况”章节是否披露了前五大客户的销售模式（直销/经销）与信用政策；②查阅经销商管理制度、期末经销商库存与退换货条款的披露；③关注审核问询函回复（若有公开披露）中关于境外客户与经销收入的核查意见。</t>
        </is>
      </c>
      <c r="G20" s="5" t="inlineStr">
        <is>
          <t>低</t>
        </is>
      </c>
    </row>
    <row r="21">
      <c r="A21" s="5" t="inlineStr">
        <is>
          <t>V-18</t>
        </is>
      </c>
      <c r="B21" s="4" t="inlineStr">
        <is>
          <t>证券简称、特别表决权标识（“-W”）与上市初期涨跌幅限制等交易安排未逐项核对</t>
        </is>
      </c>
      <c r="C21" s="5" t="inlineStr">
        <is>
          <t>表述规范</t>
        </is>
      </c>
      <c r="D21" s="4" t="inlineStr">
        <is>
          <t>封面与表2-1均以“宇树科技股份有限公司（688836.SH）”表述，未使用证券简称；结论C-20的“局限”列注明证券简称是否带“-W”标识需以交易所正式公布为准。</t>
        </is>
      </c>
      <c r="E21" s="4" t="inlineStr">
        <is>
          <t>存在特别表决权安排的公司，其证券简称通常带有特殊标识；科创板新股上市初期（前5个交易日）无涨跌幅限制、之后为20%。这些交易安排虽不影响财务分析，但影响对外材料的表述准确性。</t>
        </is>
      </c>
      <c r="F21" s="4" t="inlineStr">
        <is>
          <t>以上海证券交易所官网688836的证券简称为准核对；同时核对上市公告书中关于上市初期交易安排的提示性条款。</t>
        </is>
      </c>
      <c r="G21" s="5" t="inlineStr">
        <is>
          <t>低</t>
        </is>
      </c>
    </row>
    <row r="23" ht="26" customHeight="1">
      <c r="A23" s="9" t="inlineStr">
        <is>
          <t>核验完成后的更新流程：①将修订后的原始数据填入 02–06 表对应单元格；②07_核心计算与08_趋势图表全部由公式驱动，会自动重算与重绘，无需手工修改；③回到本页将对应编号的“优先级”改为“已核验”，并在“当前底稿的处理方式”列追加核验日期与核验人；④若核验结果改变了某条结论，请同步修订 09_分析结论 对应编号，不要另建新行，以保持编号可追溯。</t>
        </is>
      </c>
    </row>
    <row r="25" ht="20" customHeight="1">
      <c r="A25" s="3" t="inlineStr">
        <is>
          <t>本底稿未包含（因资料截止日限制或披露文件未提供）的内容清单</t>
        </is>
      </c>
    </row>
    <row r="26">
      <c r="A26" s="4" t="inlineStr">
        <is>
          <t>①完整的合并资产负债表、利润表、现金流量表与所有者权益变动表（仅提取了招股说明书“主要财务数据”摘要表所列项目）</t>
        </is>
      </c>
      <c r="B26" s="44" t="n"/>
      <c r="C26" s="44" t="n"/>
      <c r="D26" s="44" t="n"/>
      <c r="E26" s="44" t="n"/>
      <c r="F26" s="44" t="n"/>
      <c r="G26" s="45" t="n"/>
    </row>
    <row r="27">
      <c r="A27" s="4" t="inlineStr">
        <is>
          <t>②财务报表附注全部明细（应收账款账龄、存货分项期初数、负债构成、股份支付公允价值假设、政府补助明细、税收优惠明细）</t>
        </is>
      </c>
      <c r="B27" s="44" t="n"/>
      <c r="C27" s="44" t="n"/>
      <c r="D27" s="44" t="n"/>
      <c r="E27" s="44" t="n"/>
      <c r="F27" s="44" t="n"/>
      <c r="G27" s="45" t="n"/>
    </row>
    <row r="28">
      <c r="A28" s="4" t="inlineStr">
        <is>
          <t>③2026年7月1日至2026年8月30日期间发生的经营事项（披露文件中无此期间的财务数据）</t>
        </is>
      </c>
      <c r="B28" s="44" t="n"/>
      <c r="C28" s="44" t="n"/>
      <c r="D28" s="44" t="n"/>
      <c r="E28" s="44" t="n"/>
      <c r="F28" s="44" t="n"/>
      <c r="G28" s="45" t="n"/>
    </row>
    <row r="29">
      <c r="A29" s="4" t="inlineStr">
        <is>
          <t>④2026年8月31日及之后的全部行情与公告（含2026-09-03的公司章程、变更注册资本公告），已按资料截止日主动排除</t>
        </is>
      </c>
      <c r="B29" s="44" t="n"/>
      <c r="C29" s="44" t="n"/>
      <c r="D29" s="44" t="n"/>
      <c r="E29" s="44" t="n"/>
      <c r="F29" s="44" t="n"/>
      <c r="G29" s="45" t="n"/>
    </row>
    <row r="30">
      <c r="A30" s="4" t="inlineStr">
        <is>
          <t>⑤宇树科技官方网站、产品发布会、媒体报道等非披露类信息（未纳入取数范围，见 V-12）</t>
        </is>
      </c>
      <c r="B30" s="44" t="n"/>
      <c r="C30" s="44" t="n"/>
      <c r="D30" s="44" t="n"/>
      <c r="E30" s="44" t="n"/>
      <c r="F30" s="44" t="n"/>
      <c r="G30" s="45" t="n"/>
    </row>
    <row r="31">
      <c r="A31" s="4" t="inlineStr">
        <is>
          <t>⑥任何前瞻性盈利预测、估值目标或投资建议——本底稿不提供，亦不应由本底稿数据推导后对外表述为公司业绩预期</t>
        </is>
      </c>
      <c r="B31" s="44" t="n"/>
      <c r="C31" s="44" t="n"/>
      <c r="D31" s="44" t="n"/>
      <c r="E31" s="44" t="n"/>
      <c r="F31" s="44" t="n"/>
      <c r="G31" s="45" t="n"/>
    </row>
    <row r="32">
      <c r="A32" s="4" t="inlineStr">
        <is>
          <t>⑦分产品型号的单价与毛利拆分（招股说明书仅披露四足/人形两大类的合并单价）</t>
        </is>
      </c>
      <c r="B32" s="44" t="n"/>
      <c r="C32" s="44" t="n"/>
      <c r="D32" s="44" t="n"/>
      <c r="E32" s="44" t="n"/>
      <c r="F32" s="44" t="n"/>
      <c r="G32" s="45" t="n"/>
    </row>
    <row r="33">
      <c r="A33" s="4" t="inlineStr">
        <is>
          <t>⑧在手订单、合同负债、产能利用率等前瞻性经营指标（披露摘要未提供）</t>
        </is>
      </c>
      <c r="B33" s="44" t="n"/>
      <c r="C33" s="44" t="n"/>
      <c r="D33" s="44" t="n"/>
      <c r="E33" s="44" t="n"/>
      <c r="F33" s="44" t="n"/>
      <c r="G33" s="45" t="n"/>
    </row>
    <row r="35" ht="15" customHeight="1">
      <c r="A35" s="8" t="inlineStr">
        <is>
          <t>最后声明：本底稿为基于公开披露文件的信息整理与财务分析工作底稿，不构成任何证券投资建议、评级或估值结论。所有测算值（性质E）与未经审计值（性质B/C）在使用前请按本清单完成人工核验。</t>
        </is>
      </c>
    </row>
  </sheetData>
  <mergeCells count="13">
    <mergeCell ref="A32:G32"/>
    <mergeCell ref="A1:G1"/>
    <mergeCell ref="A27:G27"/>
    <mergeCell ref="A31:G31"/>
    <mergeCell ref="A35:G35"/>
    <mergeCell ref="A26:G26"/>
    <mergeCell ref="A30:G30"/>
    <mergeCell ref="A2:G2"/>
    <mergeCell ref="A29:G29"/>
    <mergeCell ref="A25:G25"/>
    <mergeCell ref="A33:G33"/>
    <mergeCell ref="A28:G28"/>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2026-09-03T17:18:48Z</dcterms:created>
  <dcterms:modified xmlns:dcterms="http://purl.org/dc/terms/" xmlns:xsi="http://www.w3.org/2001/XMLSchema-instance" xsi:type="dcterms:W3CDTF">2026-09-03T17:18:48Z</dcterms:modified>
</cp:coreProperties>
</file>
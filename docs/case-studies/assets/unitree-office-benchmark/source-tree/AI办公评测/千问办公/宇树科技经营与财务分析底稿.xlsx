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来源" sheetId="1" state="visible" r:id="rId1"/>
    <sheet xmlns:r="http://schemas.openxmlformats.org/officeDocument/2006/relationships" name="原始数据-年度" sheetId="2" state="visible" r:id="rId2"/>
    <sheet xmlns:r="http://schemas.openxmlformats.org/officeDocument/2006/relationships" name="原始数据-期间与IPO" sheetId="3" state="visible" r:id="rId3"/>
    <sheet xmlns:r="http://schemas.openxmlformats.org/officeDocument/2006/relationships" name="核心计算" sheetId="4" state="visible" r:id="rId4"/>
    <sheet xmlns:r="http://schemas.openxmlformats.org/officeDocument/2006/relationships" name="趋势图表" sheetId="5" state="visible" r:id="rId5"/>
    <sheet xmlns:r="http://schemas.openxmlformats.org/officeDocument/2006/relationships" name="分析结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0" fontId="2" fillId="0" borderId="1" pivotButton="0" quotePrefix="0" xfId="0"/>
    <xf numFmtId="4" fontId="7" fillId="0" borderId="1" pivotButton="0" quotePrefix="0" xfId="0"/>
    <xf numFmtId="10" fontId="7" fillId="0" borderId="1" pivotButton="0" quotePrefix="0" xfId="0"/>
    <xf numFmtId="0" fontId="0" fillId="0" borderId="1" pivotButton="0" quotePrefix="0" xfId="0"/>
    <xf numFmtId="2" fontId="7" fillId="0" borderId="1" pivotButton="0" quotePrefix="0" xfId="0"/>
    <xf numFmtId="3" fontId="7" fillId="0" borderId="1" pivotButton="0" quotePrefix="0" xfId="0"/>
    <xf numFmtId="0" fontId="3" fillId="3" borderId="0" pivotButton="0" quotePrefix="0" xfId="0"/>
    <xf numFmtId="4" fontId="7" fillId="3" borderId="1" pivotButton="0" quotePrefix="0" xfId="0"/>
    <xf numFmtId="0" fontId="7" fillId="0" borderId="0" pivotButton="0" quotePrefix="0" xfId="0"/>
    <xf numFmtId="10" fontId="9" fillId="0" borderId="1" pivotButton="0" quotePrefix="0" xfId="0"/>
    <xf numFmtId="2" fontId="9" fillId="0" borderId="1" pivotButton="0" quotePrefix="0" xfId="0"/>
    <xf numFmtId="0" fontId="3" fillId="4" borderId="0" pivotButton="0" quotePrefix="0" xfId="0"/>
    <xf numFmtId="4" fontId="9" fillId="0" borderId="1" pivotButton="0" quotePrefix="0" xfId="0"/>
    <xf numFmtId="0" fontId="9" fillId="0" borderId="1" pivotButton="0" quotePrefix="0" xfId="0"/>
    <xf numFmtId="4" fontId="5" fillId="0" borderId="1" pivotButton="0" quotePrefix="0" xfId="0"/>
    <xf numFmtId="10" fontId="5" fillId="0" borderId="1" pivotButton="0" quotePrefix="0" xfId="0"/>
    <xf numFmtId="3" fontId="9" fillId="0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营业收入(亿元)与同比增速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'核心计算'!B58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'核心计算'!$C$58:$B$58</f>
            </numRef>
          </val>
        </ser>
        <ser>
          <idx val="1"/>
          <order val="1"/>
          <tx>
            <strRef>
              <f>'核心计算'!C58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'核心计算'!$D$58:$C$58</f>
            </numRef>
          </val>
        </ser>
        <ser>
          <idx val="2"/>
          <order val="2"/>
          <tx>
            <strRef>
              <f>'核心计算'!D58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'核心计算'!$E$58:$D$58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'核心计算'!C59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'核心计算'!$D$59:$C$59</f>
            </numRef>
          </val>
        </ser>
        <ser>
          <idx val="4"/>
          <order val="4"/>
          <tx>
            <strRef>
              <f>'核心计算'!D59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'核心计算'!$E$59:$D$59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YoY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归母净利润 vs 扣非归母净利润(亿元)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'核心计算'!B60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'核心计算'!$B$61</f>
            </numRef>
          </val>
        </ser>
        <ser>
          <idx val="1"/>
          <order val="1"/>
          <tx>
            <strRef>
              <f>'核心计算'!C60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'核心计算'!$C$61</f>
            </numRef>
          </val>
        </ser>
        <ser>
          <idx val="2"/>
          <order val="2"/>
          <tx>
            <strRef>
              <f>'核心计算'!D60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毛利率趋势(主营/四足/人形)</a:t>
            </a:r>
          </a:p>
        </rich>
      </tx>
    </title>
    <plotArea>
      <lineChart>
        <grouping val="standard"/>
        <ser>
          <idx val="0"/>
          <order val="0"/>
          <tx>
            <strRef>
              <f>'核心计算'!B62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'核心计算'!$B$57:$D$57</f>
            </numRef>
          </cat>
          <val>
            <numRef>
              <f>'核心计算'!$B$63:$B$64</f>
            </numRef>
          </val>
        </ser>
        <ser>
          <idx val="1"/>
          <order val="1"/>
          <tx>
            <strRef>
              <f>'核心计算'!C62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'核心计算'!$B$57:$D$57</f>
            </numRef>
          </cat>
          <val>
            <numRef>
              <f>'核心计算'!$C$63:$C$64</f>
            </numRef>
          </val>
        </ser>
        <ser>
          <idx val="2"/>
          <order val="2"/>
          <tx>
            <strRef>
              <f>'核心计算'!D62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'核心计算'!$B$57:$D$57</f>
            </numRef>
          </cat>
          <val>
            <numRef>
              <f>'核心计算'!$D$63:$D$64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主营业务收入结构(亿元)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'核心计算'!B65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'核心计算'!$B$66:$B$67</f>
            </numRef>
          </val>
        </ser>
        <ser>
          <idx val="1"/>
          <order val="1"/>
          <tx>
            <strRef>
              <f>'核心计算'!C65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'核心计算'!$C$66:$C$67</f>
            </numRef>
          </val>
        </ser>
        <ser>
          <idx val="2"/>
          <order val="2"/>
          <tx>
            <strRef>
              <f>'核心计算'!D65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'核心计算'!$D$66:$D$67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机器人销量(台)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'核心计算'!B68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'核心计算'!$B$69</f>
            </numRef>
          </val>
        </ser>
        <ser>
          <idx val="1"/>
          <order val="1"/>
          <tx>
            <strRef>
              <f>'核心计算'!C68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'核心计算'!$C$69</f>
            </numRef>
          </val>
        </ser>
        <ser>
          <idx val="2"/>
          <order val="2"/>
          <tx>
            <strRef>
              <f>'核心计算'!D68</f>
            </strRef>
          </tx>
          <spPr>
            <a:ln xmlns:a="http://schemas.openxmlformats.org/drawingml/2006/main">
              <a:prstDash val="solid"/>
            </a:ln>
          </spPr>
          <cat>
            <numRef>
              <f>'核心计算'!$B$57:$D$57</f>
            </numRef>
          </cat>
          <val>
            <numRef>
              <f>'核心计算'!$D$69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53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70</row>
      <rowOff>0</rowOff>
    </from>
    <ext cx="64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4" customWidth="1" min="4" max="4"/>
    <col width="36" customWidth="1" min="5" max="5"/>
    <col width="44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宇树科技股份有限公司（688836.SH）经营与财务表现分析底稿</t>
        </is>
      </c>
    </row>
    <row r="2">
      <c r="A2" s="2" t="inlineStr">
        <is>
          <t>资料截止时间：2026-08-30　|　编制日期：2026-09-04　|　单位：除特别说明外为人民币万元</t>
        </is>
      </c>
    </row>
    <row r="4">
      <c r="A4" s="3" t="inlineStr">
        <is>
          <t>一、口径说明</t>
        </is>
      </c>
    </row>
    <row r="5">
      <c r="A5" s="4" t="inlineStr">
        <is>
          <t>报告期</t>
        </is>
      </c>
      <c r="B5" s="5" t="inlineStr">
        <is>
          <t>2023年度、2024年度、2025年度（经审计，容诚审字[2026]230Z1692号，标准无保留意见）</t>
        </is>
      </c>
    </row>
    <row r="6">
      <c r="A6" s="4" t="inlineStr">
        <is>
          <t>审阅期间</t>
        </is>
      </c>
      <c r="B6" s="5" t="inlineStr">
        <is>
          <t>2026年1-3月（经审阅，容诚阅字[2026]230Z0038号）</t>
        </is>
      </c>
    </row>
    <row r="7">
      <c r="A7" s="4" t="inlineStr">
        <is>
          <t>未审计期间</t>
        </is>
      </c>
      <c r="B7" s="5" t="inlineStr">
        <is>
          <t>2026年1-6月（未经审计，经第一届董事会第二十二次会议审议，见上市公告书附件二）</t>
        </is>
      </c>
    </row>
    <row r="8">
      <c r="A8" s="4" t="inlineStr">
        <is>
          <t>预测数据</t>
        </is>
      </c>
      <c r="B8" s="5" t="inlineStr">
        <is>
          <t>招股说明书所载2026年1-6月预计数据为管理层估计，未经审计或审阅，不构成盈利预测或业绩承诺；本底稿以黄底单独列示并与实际数对照，绝不混同于已发生事实</t>
        </is>
      </c>
    </row>
    <row r="9">
      <c r="A9" s="4" t="inlineStr">
        <is>
          <t>金额单位</t>
        </is>
      </c>
      <c r="B9" s="5" t="inlineStr">
        <is>
          <t>统一为人民币万元；每股/单价数据为元；销量为台；比率以%列示（单元格存储为小数）</t>
        </is>
      </c>
    </row>
    <row r="10">
      <c r="A10" s="4" t="inlineStr">
        <is>
          <t>颜色图例</t>
        </is>
      </c>
      <c r="B10" s="5" t="inlineStr">
        <is>
          <t>蓝字=披露原文硬编码输入；黑字=本表公式；绿字=跨表引用公式；黄底=预测数据</t>
        </is>
      </c>
    </row>
    <row r="11">
      <c r="A11" s="4" t="inlineStr">
        <is>
          <t>可编辑性</t>
        </is>
      </c>
      <c r="B11" s="5" t="inlineStr">
        <is>
          <t>修改蓝字输入后，全部公式与图表自动重算</t>
        </is>
      </c>
    </row>
    <row r="13">
      <c r="A13" s="3" t="inlineStr">
        <is>
          <t>二、资料来源清单</t>
        </is>
      </c>
    </row>
    <row r="14">
      <c r="A14" s="6" t="inlineStr">
        <is>
          <t>编号</t>
        </is>
      </c>
      <c r="B14" s="6" t="inlineStr">
        <is>
          <t>资料名称</t>
        </is>
      </c>
      <c r="C14" s="6" t="inlineStr">
        <is>
          <t>披露/批复日期</t>
        </is>
      </c>
      <c r="D14" s="6" t="inlineStr">
        <is>
          <t>出具方</t>
        </is>
      </c>
      <c r="E14" s="6" t="inlineStr">
        <is>
          <t>用途</t>
        </is>
      </c>
      <c r="F14" s="6" t="inlineStr">
        <is>
          <t>获取方式</t>
        </is>
      </c>
    </row>
    <row r="15">
      <c r="A15" s="7" t="inlineStr">
        <is>
          <t>S1</t>
        </is>
      </c>
      <c r="B15" s="8" t="inlineStr">
        <is>
          <t>首次公开发行股票科创板上市公告书</t>
        </is>
      </c>
      <c r="C15" s="8" t="inlineStr">
        <is>
          <t>2026-08-18</t>
        </is>
      </c>
      <c r="D15" s="8" t="inlineStr">
        <is>
          <t>宇树科技/中信证券</t>
        </is>
      </c>
      <c r="E15" s="7" t="inlineStr">
        <is>
          <t>IPO要素、2026H1未审计报表、2025年末比较数据</t>
        </is>
      </c>
      <c r="F15" s="7" t="inlineStr">
        <is>
          <t>上交所网站披露;PDF镜像 stockmc.xueqiu.com/202608/688836_20260818_ROD1.pdf</t>
        </is>
      </c>
    </row>
    <row r="16">
      <c r="A16" s="7" t="inlineStr">
        <is>
          <t>S2</t>
        </is>
      </c>
      <c r="B16" s="8" t="inlineStr">
        <is>
          <t>首次公开发行股票并在科创板上市招股说明书(上会稿)</t>
        </is>
      </c>
      <c r="C16" s="8" t="inlineStr">
        <is>
          <t>2026-05</t>
        </is>
      </c>
      <c r="D16" s="8" t="inlineStr">
        <is>
          <t>宇树科技</t>
        </is>
      </c>
      <c r="E16" s="7" t="inlineStr">
        <is>
          <t>报告期2023-2025财务与业务数据、产品结构、募投</t>
        </is>
      </c>
      <c r="F16" s="7" t="inlineStr">
        <is>
          <t>上交所披露;镜像 pdf.dfcfw.com/pdf/H2_AN202605251822861710_1.pdf</t>
        </is>
      </c>
    </row>
    <row r="17">
      <c r="A17" s="7" t="inlineStr">
        <is>
          <t>S3</t>
        </is>
      </c>
      <c r="B17" s="8" t="inlineStr">
        <is>
          <t>招股说明书(注册稿)及注册批复 证监许可〔2026〕1612号</t>
        </is>
      </c>
      <c r="C17" s="8" t="inlineStr">
        <is>
          <t>2026-07-01</t>
        </is>
      </c>
      <c r="D17" s="8" t="inlineStr">
        <is>
          <t>中国证监会</t>
        </is>
      </c>
      <c r="E17" s="7" t="inlineStr">
        <is>
          <t>法定生效版本;关键数字已与S1/S2核对一致</t>
        </is>
      </c>
      <c r="F17" s="7" t="inlineStr">
        <is>
          <t>上交所网站,建议人工复核</t>
        </is>
      </c>
    </row>
    <row r="18">
      <c r="A18" s="7" t="inlineStr">
        <is>
          <t>S4</t>
        </is>
      </c>
      <c r="B18" s="8" t="inlineStr">
        <is>
          <t>审计报告 容诚审字[2026]230Z1692号</t>
        </is>
      </c>
      <c r="C18" s="8" t="inlineStr">
        <is>
          <t>2026</t>
        </is>
      </c>
      <c r="D18" s="8" t="inlineStr">
        <is>
          <t>容诚会计师事务所</t>
        </is>
      </c>
      <c r="E18" s="7" t="inlineStr">
        <is>
          <t>2023-2025审计</t>
        </is>
      </c>
      <c r="F18" s="7" t="inlineStr">
        <is>
          <t>招股意向书附录</t>
        </is>
      </c>
    </row>
    <row r="19">
      <c r="A19" s="7" t="inlineStr">
        <is>
          <t>S5</t>
        </is>
      </c>
      <c r="B19" s="8" t="inlineStr">
        <is>
          <t>审阅报告 容诚阅字[2026]230Z0038号</t>
        </is>
      </c>
      <c r="C19" s="8" t="inlineStr">
        <is>
          <t>2026</t>
        </is>
      </c>
      <c r="D19" s="8" t="inlineStr">
        <is>
          <t>容诚会计师事务所</t>
        </is>
      </c>
      <c r="E19" s="7" t="inlineStr">
        <is>
          <t>2026年1-3月审阅</t>
        </is>
      </c>
      <c r="F19" s="7" t="inlineStr">
        <is>
          <t>招股意向书附录</t>
        </is>
      </c>
    </row>
    <row r="20">
      <c r="A20" s="7" t="inlineStr">
        <is>
          <t>S6</t>
        </is>
      </c>
      <c r="B20" s="8" t="inlineStr">
        <is>
          <t>上市公告书附件二:2026年1-6月财务会计报表</t>
        </is>
      </c>
      <c r="C20" s="8" t="inlineStr">
        <is>
          <t>2026-08-18</t>
        </is>
      </c>
      <c r="D20" s="8" t="inlineStr">
        <is>
          <t>宇树科技(未经审计)</t>
        </is>
      </c>
      <c r="E20" s="7" t="inlineStr">
        <is>
          <t>2026H1三大报表</t>
        </is>
      </c>
      <c r="F20" s="7" t="inlineStr">
        <is>
          <t>同S1</t>
        </is>
      </c>
    </row>
    <row r="22">
      <c r="A22" s="3" t="inlineStr">
        <is>
          <t>三、边界与需人工核验事项</t>
        </is>
      </c>
    </row>
    <row r="23">
      <c r="A23" s="2" t="inlineStr">
        <is>
          <t>1) 2022年度营收1.23亿元等仅见于媒体报道,未纳入正式表(招股书报告期为2023-2025)。</t>
        </is>
      </c>
    </row>
    <row r="24">
      <c r="A24" s="2" t="inlineStr">
        <is>
          <t>2) 上市首日(2026-08-19)及后续二级市场涨跌幅属行情数据,非披露财务口径,本底稿不纳入;如需要请以上交所行情为准。</t>
        </is>
      </c>
    </row>
    <row r="25">
      <c r="A25" s="2" t="inlineStr">
        <is>
          <t>3) 本底稿招股书数据取自上会稿镜像;注册稿为法定文本,关键数字(2025营收169,926.93万元、扣非归母59,075.28万元、主营毛利率60.13%、研发费用14,496.56万元)已与上市公告书交叉验证一致,仍建议以注册稿原文页码复核。</t>
        </is>
      </c>
    </row>
    <row r="26">
      <c r="A26" s="2" t="inlineStr">
        <is>
          <t>4) 2026H1数据未经审计;2026Q1为审阅数。</t>
        </is>
      </c>
    </row>
  </sheetData>
  <mergeCells count="11">
    <mergeCell ref="B8:H8"/>
    <mergeCell ref="A25:I25"/>
    <mergeCell ref="B9:H9"/>
    <mergeCell ref="B6:H6"/>
    <mergeCell ref="A23:I23"/>
    <mergeCell ref="B7:H7"/>
    <mergeCell ref="B10:H10"/>
    <mergeCell ref="B11:H11"/>
    <mergeCell ref="B5:H5"/>
    <mergeCell ref="A26:I26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  <col width="42" customWidth="1" min="6" max="6"/>
  </cols>
  <sheetData>
    <row r="1">
      <c r="A1" s="1" t="inlineStr">
        <is>
          <t>原始数据·年度（2023-2025，经审计）</t>
        </is>
      </c>
    </row>
    <row r="2">
      <c r="A2" s="2" t="inlineStr">
        <is>
          <t>单位：万元（每股/单价除外）　来源：S2招股说明书(上会稿)/S1上市公告书</t>
        </is>
      </c>
    </row>
    <row r="3">
      <c r="A3" s="6" t="inlineStr">
        <is>
          <t>项目</t>
        </is>
      </c>
      <c r="B3" s="6" t="inlineStr">
        <is>
          <t>单位</t>
        </is>
      </c>
      <c r="C3" s="6" t="inlineStr">
        <is>
          <t>2023</t>
        </is>
      </c>
      <c r="D3" s="6" t="inlineStr">
        <is>
          <t>2024</t>
        </is>
      </c>
      <c r="E3" s="6" t="inlineStr">
        <is>
          <t>2025</t>
        </is>
      </c>
      <c r="F3" s="6" t="inlineStr">
        <is>
          <t>来源/备注</t>
        </is>
      </c>
    </row>
    <row r="4">
      <c r="A4" s="9" t="inlineStr">
        <is>
          <t>营业收入</t>
        </is>
      </c>
      <c r="B4" s="10" t="inlineStr">
        <is>
          <t>万元</t>
        </is>
      </c>
      <c r="C4" s="11" t="n">
        <v>15913.44</v>
      </c>
      <c r="D4" s="11" t="n">
        <v>39277.07</v>
      </c>
      <c r="E4" s="11" t="n">
        <v>169926.93</v>
      </c>
      <c r="F4" s="10" t="inlineStr">
        <is>
          <t>S2/S1</t>
        </is>
      </c>
    </row>
    <row r="5">
      <c r="A5" s="9" t="inlineStr">
        <is>
          <t>主营业务收入</t>
        </is>
      </c>
      <c r="B5" s="10" t="inlineStr">
        <is>
          <t>万元</t>
        </is>
      </c>
      <c r="C5" s="11" t="n">
        <v>15753.65</v>
      </c>
      <c r="D5" s="11" t="n">
        <v>38767.28</v>
      </c>
      <c r="E5" s="11" t="n">
        <v>167611.09</v>
      </c>
      <c r="F5" s="10" t="inlineStr">
        <is>
          <t>S2</t>
        </is>
      </c>
    </row>
    <row r="6">
      <c r="A6" s="9" t="inlineStr">
        <is>
          <t>－四足机器人收入</t>
        </is>
      </c>
      <c r="B6" s="10" t="inlineStr">
        <is>
          <t>万元</t>
        </is>
      </c>
      <c r="C6" s="11" t="n">
        <v>11938.09</v>
      </c>
      <c r="D6" s="11" t="n">
        <v>23054.37</v>
      </c>
      <c r="E6" s="11" t="n">
        <v>69762.56</v>
      </c>
      <c r="F6" s="10" t="inlineStr">
        <is>
          <t>S2</t>
        </is>
      </c>
    </row>
    <row r="7">
      <c r="A7" s="9" t="inlineStr">
        <is>
          <t>－人形机器人收入</t>
        </is>
      </c>
      <c r="B7" s="10" t="inlineStr">
        <is>
          <t>万元</t>
        </is>
      </c>
      <c r="C7" s="11" t="n">
        <v>296.71</v>
      </c>
      <c r="D7" s="11" t="n">
        <v>10729.76</v>
      </c>
      <c r="E7" s="11" t="n">
        <v>86783.19</v>
      </c>
      <c r="F7" s="10" t="inlineStr">
        <is>
          <t>S2</t>
        </is>
      </c>
    </row>
    <row r="8">
      <c r="A8" s="9" t="inlineStr">
        <is>
          <t>－机器人组件收入</t>
        </is>
      </c>
      <c r="B8" s="10" t="inlineStr">
        <is>
          <t>万元</t>
        </is>
      </c>
      <c r="C8" s="11" t="n">
        <v>2692.34</v>
      </c>
      <c r="D8" s="11" t="n">
        <v>4453.82</v>
      </c>
      <c r="E8" s="11" t="n">
        <v>10373.67</v>
      </c>
      <c r="F8" s="10" t="inlineStr">
        <is>
          <t>S2</t>
        </is>
      </c>
    </row>
    <row r="9">
      <c r="A9" s="9" t="inlineStr">
        <is>
          <t>－其他收入</t>
        </is>
      </c>
      <c r="B9" s="10" t="inlineStr">
        <is>
          <t>万元</t>
        </is>
      </c>
      <c r="C9" s="11" t="n">
        <v>826.51</v>
      </c>
      <c r="D9" s="11" t="n">
        <v>529.33</v>
      </c>
      <c r="E9" s="11" t="n">
        <v>691.67</v>
      </c>
      <c r="F9" s="10" t="inlineStr">
        <is>
          <t>S2</t>
        </is>
      </c>
    </row>
    <row r="10">
      <c r="A10" s="9" t="inlineStr">
        <is>
          <t>主营业务毛利率</t>
        </is>
      </c>
      <c r="B10" s="10" t="inlineStr">
        <is>
          <t>%</t>
        </is>
      </c>
      <c r="C10" s="12" t="n">
        <v>0.4422</v>
      </c>
      <c r="D10" s="12" t="n">
        <v>0.5674</v>
      </c>
      <c r="E10" s="12" t="n">
        <v>0.6012999999999999</v>
      </c>
      <c r="F10" s="10" t="inlineStr">
        <is>
          <t>S2</t>
        </is>
      </c>
    </row>
    <row r="11">
      <c r="A11" s="9" t="inlineStr">
        <is>
          <t>－四足机器人毛利率</t>
        </is>
      </c>
      <c r="B11" s="10" t="inlineStr">
        <is>
          <t>%</t>
        </is>
      </c>
      <c r="C11" s="12" t="n">
        <v>0.4371</v>
      </c>
      <c r="D11" s="12" t="n">
        <v>0.5165</v>
      </c>
      <c r="E11" s="12" t="n">
        <v>0.5672</v>
      </c>
      <c r="F11" s="10" t="inlineStr">
        <is>
          <t>S2</t>
        </is>
      </c>
    </row>
    <row r="12">
      <c r="A12" s="9" t="inlineStr">
        <is>
          <t>－人形机器人毛利率</t>
        </is>
      </c>
      <c r="B12" s="10" t="inlineStr">
        <is>
          <t>%</t>
        </is>
      </c>
      <c r="C12" s="12" t="n">
        <v>0.8767</v>
      </c>
      <c r="D12" s="12" t="n">
        <v>0.6926</v>
      </c>
      <c r="E12" s="12" t="n">
        <v>0.6318</v>
      </c>
      <c r="F12" s="10" t="inlineStr">
        <is>
          <t>S2</t>
        </is>
      </c>
    </row>
    <row r="13">
      <c r="A13" s="9" t="inlineStr">
        <is>
          <t>－组件毛利率</t>
        </is>
      </c>
      <c r="B13" s="10" t="inlineStr">
        <is>
          <t>%</t>
        </is>
      </c>
      <c r="C13" s="12" t="n">
        <v>0.4876</v>
      </c>
      <c r="D13" s="12" t="n">
        <v>0.5694</v>
      </c>
      <c r="E13" s="12" t="n">
        <v>0.5936</v>
      </c>
      <c r="F13" s="10" t="inlineStr">
        <is>
          <t>S2</t>
        </is>
      </c>
    </row>
    <row r="14">
      <c r="A14" s="9" t="inlineStr">
        <is>
          <t>－其他毛利率</t>
        </is>
      </c>
      <c r="B14" s="10" t="inlineStr">
        <is>
          <t>%</t>
        </is>
      </c>
      <c r="C14" s="12" t="n">
        <v>0.2111</v>
      </c>
      <c r="D14" s="12" t="n">
        <v>0.2323</v>
      </c>
      <c r="E14" s="12" t="n">
        <v>0.3353</v>
      </c>
      <c r="F14" s="10" t="inlineStr">
        <is>
          <t>S2</t>
        </is>
      </c>
    </row>
    <row r="15">
      <c r="A15" s="9" t="inlineStr">
        <is>
          <t>综合毛利率</t>
        </is>
      </c>
      <c r="B15" s="10" t="inlineStr">
        <is>
          <t>%</t>
        </is>
      </c>
      <c r="C15" s="12" t="n">
        <v>0.4475</v>
      </c>
      <c r="D15" s="12" t="n">
        <v>0.5722</v>
      </c>
      <c r="E15" s="12" t="n">
        <v>0.6044</v>
      </c>
      <c r="F15" s="10" t="inlineStr">
        <is>
          <t>S2同业比较表</t>
        </is>
      </c>
    </row>
    <row r="16">
      <c r="A16" s="9" t="inlineStr">
        <is>
          <t>主营业务毛利</t>
        </is>
      </c>
      <c r="B16" s="10" t="inlineStr">
        <is>
          <t>万元</t>
        </is>
      </c>
      <c r="C16" s="11" t="n">
        <v>6965.75</v>
      </c>
      <c r="D16" s="11" t="n">
        <v>21996.62</v>
      </c>
      <c r="E16" s="11" t="n">
        <v>100785.07</v>
      </c>
      <c r="F16" s="10" t="inlineStr">
        <is>
          <t>S2</t>
        </is>
      </c>
    </row>
    <row r="17">
      <c r="A17" s="9" t="inlineStr">
        <is>
          <t>－四足机器人毛利</t>
        </is>
      </c>
      <c r="B17" s="10" t="inlineStr">
        <is>
          <t>万元</t>
        </is>
      </c>
      <c r="C17" s="11" t="n">
        <v>5218.21</v>
      </c>
      <c r="D17" s="11" t="n">
        <v>11906.88</v>
      </c>
      <c r="E17" s="11" t="n">
        <v>39569.16</v>
      </c>
      <c r="F17" s="10" t="inlineStr">
        <is>
          <t>S2</t>
        </is>
      </c>
    </row>
    <row r="18">
      <c r="A18" s="9" t="inlineStr">
        <is>
          <t>－人形机器人毛利</t>
        </is>
      </c>
      <c r="B18" s="10" t="inlineStr">
        <is>
          <t>万元</t>
        </is>
      </c>
      <c r="C18" s="11" t="n">
        <v>260.12</v>
      </c>
      <c r="D18" s="11" t="n">
        <v>7430.99</v>
      </c>
      <c r="E18" s="11" t="n">
        <v>54826.61</v>
      </c>
      <c r="F18" s="10" t="inlineStr">
        <is>
          <t>S2</t>
        </is>
      </c>
    </row>
    <row r="19">
      <c r="A19" s="9" t="inlineStr">
        <is>
          <t>－组件毛利</t>
        </is>
      </c>
      <c r="B19" s="10" t="inlineStr">
        <is>
          <t>万元</t>
        </is>
      </c>
      <c r="C19" s="11" t="n">
        <v>1312.9</v>
      </c>
      <c r="D19" s="11" t="n">
        <v>2535.79</v>
      </c>
      <c r="E19" s="11" t="n">
        <v>6157.41</v>
      </c>
      <c r="F19" s="10" t="inlineStr">
        <is>
          <t>S2</t>
        </is>
      </c>
    </row>
    <row r="20">
      <c r="A20" s="9" t="inlineStr">
        <is>
          <t>－其他毛利</t>
        </is>
      </c>
      <c r="B20" s="10" t="inlineStr">
        <is>
          <t>万元</t>
        </is>
      </c>
      <c r="C20" s="11" t="n">
        <v>174.52</v>
      </c>
      <c r="D20" s="11" t="n">
        <v>122.96</v>
      </c>
      <c r="E20" s="11" t="n">
        <v>231.89</v>
      </c>
      <c r="F20" s="10" t="inlineStr">
        <is>
          <t>S2</t>
        </is>
      </c>
    </row>
    <row r="21">
      <c r="A21" s="9" t="inlineStr">
        <is>
          <t>归母净利润</t>
        </is>
      </c>
      <c r="B21" s="10" t="inlineStr">
        <is>
          <t>万元</t>
        </is>
      </c>
      <c r="C21" s="11" t="n">
        <v>-1114.51</v>
      </c>
      <c r="D21" s="11" t="n">
        <v>9547.469999999999</v>
      </c>
      <c r="E21" s="11" t="n">
        <v>27821.05</v>
      </c>
      <c r="F21" s="10" t="inlineStr">
        <is>
          <t>S2/S1</t>
        </is>
      </c>
    </row>
    <row r="22">
      <c r="A22" s="9" t="inlineStr">
        <is>
          <t>扣非归母净利润</t>
        </is>
      </c>
      <c r="B22" s="10" t="inlineStr">
        <is>
          <t>万元</t>
        </is>
      </c>
      <c r="C22" s="11" t="n">
        <v>-1801.91</v>
      </c>
      <c r="D22" s="11" t="n">
        <v>7847.65</v>
      </c>
      <c r="E22" s="11" t="n">
        <v>59075.28</v>
      </c>
      <c r="F22" s="10" t="inlineStr">
        <is>
          <t>S2/S1</t>
        </is>
      </c>
    </row>
    <row r="23">
      <c r="A23" s="9" t="inlineStr">
        <is>
          <t>其中:股份支付费用</t>
        </is>
      </c>
      <c r="B23" s="10" t="inlineStr">
        <is>
          <t>万元</t>
        </is>
      </c>
      <c r="C23" s="11" t="n">
        <v>0</v>
      </c>
      <c r="D23" s="11" t="n">
        <v>0</v>
      </c>
      <c r="E23" s="11" t="n">
        <v>34906.55</v>
      </c>
      <c r="F23" s="10" t="inlineStr">
        <is>
          <t>S2 非经常性,计入管理费用</t>
        </is>
      </c>
    </row>
    <row r="24">
      <c r="A24" s="9" t="inlineStr">
        <is>
          <t>销售费用</t>
        </is>
      </c>
      <c r="B24" s="10" t="inlineStr">
        <is>
          <t>万元</t>
        </is>
      </c>
      <c r="C24" s="11" t="n">
        <v>3771.83</v>
      </c>
      <c r="D24" s="11" t="n">
        <v>5915.85</v>
      </c>
      <c r="E24" s="11" t="n">
        <v>14120.32</v>
      </c>
      <c r="F24" s="10" t="inlineStr">
        <is>
          <t>S2</t>
        </is>
      </c>
    </row>
    <row r="25">
      <c r="A25" s="9" t="inlineStr">
        <is>
          <t>管理费用</t>
        </is>
      </c>
      <c r="B25" s="10" t="inlineStr">
        <is>
          <t>万元</t>
        </is>
      </c>
      <c r="C25" s="11" t="n">
        <v>1332.8</v>
      </c>
      <c r="D25" s="11" t="n">
        <v>2500.52</v>
      </c>
      <c r="E25" s="11" t="n">
        <v>39959.61</v>
      </c>
      <c r="F25" s="10" t="inlineStr">
        <is>
          <t>S2</t>
        </is>
      </c>
    </row>
    <row r="26">
      <c r="A26" s="9" t="inlineStr">
        <is>
          <t>研发费用</t>
        </is>
      </c>
      <c r="B26" s="10" t="inlineStr">
        <is>
          <t>万元</t>
        </is>
      </c>
      <c r="C26" s="11" t="n">
        <v>4995.18</v>
      </c>
      <c r="D26" s="11" t="n">
        <v>7001.7</v>
      </c>
      <c r="E26" s="11" t="n">
        <v>14496.56</v>
      </c>
      <c r="F26" s="10" t="inlineStr">
        <is>
          <t>S2/S1</t>
        </is>
      </c>
    </row>
    <row r="27">
      <c r="A27" s="9" t="inlineStr">
        <is>
          <t>财务费用</t>
        </is>
      </c>
      <c r="B27" s="10" t="inlineStr">
        <is>
          <t>万元</t>
        </is>
      </c>
      <c r="C27" s="11" t="n">
        <v>-732.47</v>
      </c>
      <c r="D27" s="11" t="n">
        <v>-1718.64</v>
      </c>
      <c r="E27" s="11" t="n">
        <v>98.61</v>
      </c>
      <c r="F27" s="10" t="inlineStr">
        <is>
          <t>S2</t>
        </is>
      </c>
    </row>
    <row r="28">
      <c r="A28" s="9" t="inlineStr">
        <is>
          <t>经营活动现金流量净额</t>
        </is>
      </c>
      <c r="B28" s="10" t="inlineStr">
        <is>
          <t>万元</t>
        </is>
      </c>
      <c r="C28" s="11" t="n">
        <v>494.25</v>
      </c>
      <c r="D28" s="11" t="n">
        <v>19239.13</v>
      </c>
      <c r="E28" s="11" t="n">
        <v>66998.17999999999</v>
      </c>
      <c r="F28" s="10" t="inlineStr">
        <is>
          <t>S2</t>
        </is>
      </c>
    </row>
    <row r="29">
      <c r="A29" s="9" t="inlineStr">
        <is>
          <t>资产总额</t>
        </is>
      </c>
      <c r="B29" s="10" t="inlineStr">
        <is>
          <t>万元</t>
        </is>
      </c>
      <c r="C29" s="11" t="n">
        <v>39127.15</v>
      </c>
      <c r="D29" s="11" t="n">
        <v>152786.94</v>
      </c>
      <c r="E29" s="11" t="n">
        <v>320853.83</v>
      </c>
      <c r="F29" s="10" t="inlineStr">
        <is>
          <t>S2</t>
        </is>
      </c>
    </row>
    <row r="30">
      <c r="A30" s="9" t="inlineStr">
        <is>
          <t>归属于母公司所有者权益</t>
        </is>
      </c>
      <c r="B30" s="10" t="inlineStr">
        <is>
          <t>万元</t>
        </is>
      </c>
      <c r="C30" s="11" t="n">
        <v>29904.49</v>
      </c>
      <c r="D30" s="11" t="n">
        <v>128054.9</v>
      </c>
      <c r="E30" s="11" t="n">
        <v>260465.85</v>
      </c>
      <c r="F30" s="10" t="inlineStr">
        <is>
          <t>S2</t>
        </is>
      </c>
    </row>
    <row r="31">
      <c r="A31" s="9" t="inlineStr">
        <is>
          <t>资产负债率(合并)</t>
        </is>
      </c>
      <c r="B31" s="10" t="inlineStr">
        <is>
          <t>%</t>
        </is>
      </c>
      <c r="C31" s="12" t="n">
        <v>0.2357</v>
      </c>
      <c r="D31" s="12" t="n">
        <v>0.1619</v>
      </c>
      <c r="E31" s="12" t="n">
        <v>0.1882</v>
      </c>
      <c r="F31" s="10" t="inlineStr">
        <is>
          <t>S2</t>
        </is>
      </c>
    </row>
    <row r="32">
      <c r="A32" s="9" t="inlineStr">
        <is>
          <t>加权平均ROE</t>
        </is>
      </c>
      <c r="B32" s="10" t="inlineStr">
        <is>
          <t>%</t>
        </is>
      </c>
      <c r="C32" s="12" t="n">
        <v>-0.0366</v>
      </c>
      <c r="D32" s="12" t="n">
        <v>0.1046</v>
      </c>
      <c r="E32" s="12" t="n">
        <v>0.1352</v>
      </c>
      <c r="F32" s="10" t="inlineStr">
        <is>
          <t>S2</t>
        </is>
      </c>
    </row>
    <row r="33">
      <c r="A33" s="9" t="inlineStr">
        <is>
          <t>扣非加权平均ROE</t>
        </is>
      </c>
      <c r="B33" s="10" t="inlineStr">
        <is>
          <t>%</t>
        </is>
      </c>
      <c r="C33" s="12" t="n">
        <v>-0.0592</v>
      </c>
      <c r="D33" s="12" t="n">
        <v>0.08599999999999999</v>
      </c>
      <c r="E33" s="12" t="n">
        <v>0.287</v>
      </c>
      <c r="F33" s="10" t="inlineStr">
        <is>
          <t>S2</t>
        </is>
      </c>
    </row>
    <row r="34">
      <c r="A34" s="9" t="inlineStr">
        <is>
          <t>基本每股收益</t>
        </is>
      </c>
      <c r="B34" s="10" t="inlineStr">
        <is>
          <t>元</t>
        </is>
      </c>
      <c r="C34" s="13" t="n"/>
      <c r="D34" s="13" t="n"/>
      <c r="E34" s="14" t="n">
        <v>0.76</v>
      </c>
      <c r="F34" s="10" t="inlineStr">
        <is>
          <t>S2</t>
        </is>
      </c>
    </row>
    <row r="35">
      <c r="A35" s="9" t="inlineStr">
        <is>
          <t>四足机器人销量</t>
        </is>
      </c>
      <c r="B35" s="10" t="inlineStr">
        <is>
          <t>台</t>
        </is>
      </c>
      <c r="C35" s="15" t="n">
        <v>3121</v>
      </c>
      <c r="D35" s="15" t="n">
        <v>7136</v>
      </c>
      <c r="E35" s="15" t="n">
        <v>23037</v>
      </c>
      <c r="F35" s="10" t="inlineStr">
        <is>
          <t>S2</t>
        </is>
      </c>
    </row>
    <row r="36">
      <c r="A36" s="9" t="inlineStr">
        <is>
          <t>四足机器人单价</t>
        </is>
      </c>
      <c r="B36" s="10" t="inlineStr">
        <is>
          <t>万元/台</t>
        </is>
      </c>
      <c r="C36" s="14" t="n">
        <v>3.83</v>
      </c>
      <c r="D36" s="14" t="n">
        <v>3.23</v>
      </c>
      <c r="E36" s="14" t="n">
        <v>3.03</v>
      </c>
      <c r="F36" s="10" t="inlineStr">
        <is>
          <t>S2</t>
        </is>
      </c>
    </row>
    <row r="37">
      <c r="A37" s="9" t="inlineStr">
        <is>
          <t>人形机器人销量</t>
        </is>
      </c>
      <c r="B37" s="10" t="inlineStr">
        <is>
          <t>台</t>
        </is>
      </c>
      <c r="C37" s="15" t="n">
        <v>5</v>
      </c>
      <c r="D37" s="15" t="n">
        <v>412</v>
      </c>
      <c r="E37" s="15" t="n">
        <v>5215</v>
      </c>
      <c r="F37" s="10" t="inlineStr">
        <is>
          <t>S2</t>
        </is>
      </c>
    </row>
    <row r="38">
      <c r="A38" s="9" t="inlineStr">
        <is>
          <t>人形机器人单价</t>
        </is>
      </c>
      <c r="B38" s="10" t="inlineStr">
        <is>
          <t>万元/台</t>
        </is>
      </c>
      <c r="C38" s="14" t="n">
        <v>59.34</v>
      </c>
      <c r="D38" s="14" t="n">
        <v>26.04</v>
      </c>
      <c r="E38" s="14" t="n">
        <v>16.64</v>
      </c>
      <c r="F38" s="10" t="inlineStr">
        <is>
          <t>S2</t>
        </is>
      </c>
    </row>
    <row r="39">
      <c r="A39" s="9" t="inlineStr">
        <is>
          <t>人形机器人出货量</t>
        </is>
      </c>
      <c r="B39" s="10" t="inlineStr">
        <is>
          <t>台</t>
        </is>
      </c>
      <c r="C39" s="13" t="n"/>
      <c r="D39" s="13" t="n"/>
      <c r="E39" s="15" t="n">
        <v>5511</v>
      </c>
      <c r="F39" s="10" t="inlineStr">
        <is>
          <t>S2 全球第一</t>
        </is>
      </c>
    </row>
    <row r="40">
      <c r="A40" s="9" t="inlineStr">
        <is>
          <t>员工总数(年末)</t>
        </is>
      </c>
      <c r="B40" s="10" t="inlineStr">
        <is>
          <t>人</t>
        </is>
      </c>
      <c r="C40" s="13" t="n"/>
      <c r="D40" s="13" t="n"/>
      <c r="E40" s="15" t="n">
        <v>516</v>
      </c>
      <c r="F40" s="10" t="inlineStr">
        <is>
          <t>S2</t>
        </is>
      </c>
    </row>
    <row r="41">
      <c r="A41" s="9" t="inlineStr">
        <is>
          <t>研发人员(年末)</t>
        </is>
      </c>
      <c r="B41" s="10" t="inlineStr">
        <is>
          <t>人</t>
        </is>
      </c>
      <c r="C41" s="13" t="n"/>
      <c r="D41" s="13" t="n"/>
      <c r="E41" s="15" t="n">
        <v>184</v>
      </c>
      <c r="F41" s="10" t="inlineStr">
        <is>
          <t>S2 占比35.66%</t>
        </is>
      </c>
    </row>
    <row r="42">
      <c r="A42" s="9" t="inlineStr">
        <is>
          <t>美国市场收入占比</t>
        </is>
      </c>
      <c r="B42" s="10" t="inlineStr">
        <is>
          <t>%</t>
        </is>
      </c>
      <c r="C42" s="12" t="n">
        <v>0.1839</v>
      </c>
      <c r="D42" s="12" t="n">
        <v>0.1954</v>
      </c>
      <c r="E42" s="12" t="n">
        <v>0.133</v>
      </c>
      <c r="F42" s="10" t="inlineStr">
        <is>
          <t>S1风险因素</t>
        </is>
      </c>
    </row>
    <row r="43">
      <c r="A43" s="9" t="inlineStr">
        <is>
          <t>前五大客户收入占比</t>
        </is>
      </c>
      <c r="B43" s="10" t="inlineStr">
        <is>
          <t>%</t>
        </is>
      </c>
      <c r="C43" s="12" t="n">
        <v>0.1269</v>
      </c>
      <c r="D43" s="12" t="n">
        <v>0.1245</v>
      </c>
      <c r="E43" s="12" t="n">
        <v>0.1208</v>
      </c>
      <c r="F43" s="10" t="inlineStr">
        <is>
          <t>S2</t>
        </is>
      </c>
    </row>
    <row r="44">
      <c r="A44" s="9" t="inlineStr">
        <is>
          <t>线上销售收入占比</t>
        </is>
      </c>
      <c r="B44" s="10" t="inlineStr">
        <is>
          <t>%</t>
        </is>
      </c>
      <c r="C44" s="12" t="n">
        <v>0.1314</v>
      </c>
      <c r="D44" s="12" t="n">
        <v>0.1039</v>
      </c>
      <c r="E44" s="12" t="n">
        <v>0.1072</v>
      </c>
      <c r="F44" s="10" t="inlineStr">
        <is>
          <t>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30" customWidth="1" min="7" max="7"/>
    <col width="12" customWidth="1" min="8" max="8"/>
  </cols>
  <sheetData>
    <row r="1">
      <c r="A1" s="1" t="inlineStr">
        <is>
          <t>原始数据·期间（审阅/未审计）与IPO要素</t>
        </is>
      </c>
    </row>
    <row r="3">
      <c r="A3" s="6" t="inlineStr">
        <is>
          <t>项目</t>
        </is>
      </c>
      <c r="B3" s="6" t="inlineStr">
        <is>
          <t>单位</t>
        </is>
      </c>
      <c r="C3" s="6" t="inlineStr">
        <is>
          <t>2025Q1</t>
        </is>
      </c>
      <c r="D3" s="6" t="inlineStr">
        <is>
          <t>2025H1</t>
        </is>
      </c>
      <c r="E3" s="6" t="inlineStr">
        <is>
          <t>2026Q1</t>
        </is>
      </c>
      <c r="F3" s="6" t="inlineStr">
        <is>
          <t>2026H1</t>
        </is>
      </c>
      <c r="G3" s="6" t="inlineStr">
        <is>
          <t>审计属性</t>
        </is>
      </c>
      <c r="H3" s="6" t="inlineStr">
        <is>
          <t>来源</t>
        </is>
      </c>
    </row>
    <row r="4">
      <c r="A4" s="9" t="inlineStr">
        <is>
          <t>营业收入</t>
        </is>
      </c>
      <c r="B4" s="10" t="inlineStr">
        <is>
          <t>万元</t>
        </is>
      </c>
      <c r="C4" s="11" t="n">
        <v>25095.87</v>
      </c>
      <c r="D4" s="11" t="n">
        <v>77571.92</v>
      </c>
      <c r="E4" s="11" t="n">
        <v>42284.05</v>
      </c>
      <c r="F4" s="11" t="n">
        <v>115224.56</v>
      </c>
      <c r="G4" s="10" t="inlineStr">
        <is>
          <t>25Q1审阅;25H1/26H1未审计</t>
        </is>
      </c>
      <c r="H4" s="10" t="inlineStr">
        <is>
          <t>S2/S1</t>
        </is>
      </c>
    </row>
    <row r="5">
      <c r="A5" s="9" t="inlineStr">
        <is>
          <t>营业成本</t>
        </is>
      </c>
      <c r="B5" s="10" t="inlineStr">
        <is>
          <t>万元</t>
        </is>
      </c>
      <c r="C5" s="13" t="n"/>
      <c r="D5" s="11" t="n">
        <v>30907.39</v>
      </c>
      <c r="E5" s="13" t="n"/>
      <c r="F5" s="11" t="n">
        <v>50688.51</v>
      </c>
      <c r="G5" s="10" t="inlineStr">
        <is>
          <t>未审计</t>
        </is>
      </c>
      <c r="H5" s="10" t="inlineStr">
        <is>
          <t>S1附件二</t>
        </is>
      </c>
    </row>
    <row r="6">
      <c r="A6" s="9" t="inlineStr">
        <is>
          <t>归母净利润</t>
        </is>
      </c>
      <c r="B6" s="10" t="inlineStr">
        <is>
          <t>万元</t>
        </is>
      </c>
      <c r="C6" s="11" t="n">
        <v>9560.25</v>
      </c>
      <c r="D6" s="11" t="n">
        <v>-3202.45</v>
      </c>
      <c r="E6" s="11" t="n">
        <v>5001.38</v>
      </c>
      <c r="F6" s="11" t="n">
        <v>27399.99</v>
      </c>
      <c r="G6" s="10" t="inlineStr">
        <is>
          <t>同上</t>
        </is>
      </c>
      <c r="H6" s="10" t="inlineStr">
        <is>
          <t>S2/S1</t>
        </is>
      </c>
    </row>
    <row r="7">
      <c r="A7" s="9" t="inlineStr">
        <is>
          <t>扣非归母净利润</t>
        </is>
      </c>
      <c r="B7" s="10" t="inlineStr">
        <is>
          <t>万元</t>
        </is>
      </c>
      <c r="C7" s="11" t="n">
        <v>8483.65</v>
      </c>
      <c r="D7" s="11" t="n">
        <v>30243.35</v>
      </c>
      <c r="E7" s="11" t="n">
        <v>4025.36</v>
      </c>
      <c r="F7" s="11" t="n">
        <v>24393.03</v>
      </c>
      <c r="G7" s="10" t="inlineStr">
        <is>
          <t>同上</t>
        </is>
      </c>
      <c r="H7" s="10" t="inlineStr">
        <is>
          <t>S2/S1</t>
        </is>
      </c>
    </row>
    <row r="8">
      <c r="A8" s="9" t="inlineStr">
        <is>
          <t>经营活动现金流量净额</t>
        </is>
      </c>
      <c r="B8" s="10" t="inlineStr">
        <is>
          <t>万元</t>
        </is>
      </c>
      <c r="C8" s="13" t="n"/>
      <c r="D8" s="11" t="n">
        <v>34319.36</v>
      </c>
      <c r="E8" s="11" t="n">
        <v>3439.96</v>
      </c>
      <c r="F8" s="11" t="n">
        <v>23154.53</v>
      </c>
      <c r="G8" s="10" t="inlineStr">
        <is>
          <t>同上</t>
        </is>
      </c>
      <c r="H8" s="10" t="inlineStr">
        <is>
          <t>S2/S1</t>
        </is>
      </c>
    </row>
    <row r="9">
      <c r="A9" s="9" t="inlineStr">
        <is>
          <t>研发费用</t>
        </is>
      </c>
      <c r="B9" s="10" t="inlineStr">
        <is>
          <t>万元</t>
        </is>
      </c>
      <c r="C9" s="13" t="n"/>
      <c r="D9" s="11" t="n">
        <v>5386.9</v>
      </c>
      <c r="E9" s="13" t="n"/>
      <c r="F9" s="11" t="n">
        <v>13590.65</v>
      </c>
      <c r="G9" s="10" t="inlineStr">
        <is>
          <t>未审计</t>
        </is>
      </c>
      <c r="H9" s="10" t="inlineStr">
        <is>
          <t>S1附件二</t>
        </is>
      </c>
    </row>
    <row r="10">
      <c r="A10" s="9" t="inlineStr">
        <is>
          <t>销售费用</t>
        </is>
      </c>
      <c r="B10" s="10" t="inlineStr">
        <is>
          <t>万元</t>
        </is>
      </c>
      <c r="C10" s="13" t="n"/>
      <c r="D10" s="11" t="n">
        <v>4685.11</v>
      </c>
      <c r="E10" s="13" t="n"/>
      <c r="F10" s="11" t="n">
        <v>16407.27</v>
      </c>
      <c r="G10" s="10" t="inlineStr">
        <is>
          <t>未审计</t>
        </is>
      </c>
      <c r="H10" s="10" t="inlineStr">
        <is>
          <t>S1附件二</t>
        </is>
      </c>
    </row>
    <row r="11">
      <c r="A11" s="9" t="inlineStr">
        <is>
          <t>管理费用</t>
        </is>
      </c>
      <c r="B11" s="10" t="inlineStr">
        <is>
          <t>万元</t>
        </is>
      </c>
      <c r="C11" s="13" t="n"/>
      <c r="D11" s="11" t="n">
        <v>36399.38</v>
      </c>
      <c r="E11" s="13" t="n"/>
      <c r="F11" s="11" t="n">
        <v>4208.48</v>
      </c>
      <c r="G11" s="10" t="inlineStr">
        <is>
          <t>25H1含股份支付34,906.55</t>
        </is>
      </c>
      <c r="H11" s="10" t="inlineStr">
        <is>
          <t>S1附件二</t>
        </is>
      </c>
    </row>
    <row r="12">
      <c r="A12" s="9" t="inlineStr">
        <is>
          <t>资产总额</t>
        </is>
      </c>
      <c r="B12" s="10" t="inlineStr">
        <is>
          <t>万元</t>
        </is>
      </c>
      <c r="C12" s="13" t="n"/>
      <c r="D12" s="13" t="n"/>
      <c r="E12" s="11" t="n">
        <v>345907.18</v>
      </c>
      <c r="F12" s="11" t="n">
        <v>384546.94</v>
      </c>
      <c r="G12" s="10" t="inlineStr">
        <is>
          <t>同上</t>
        </is>
      </c>
      <c r="H12" s="10" t="inlineStr">
        <is>
          <t>S2/S1</t>
        </is>
      </c>
    </row>
    <row r="13">
      <c r="A13" s="9" t="inlineStr">
        <is>
          <t>归母所有者权益</t>
        </is>
      </c>
      <c r="B13" s="10" t="inlineStr">
        <is>
          <t>万元</t>
        </is>
      </c>
      <c r="C13" s="13" t="n"/>
      <c r="D13" s="13" t="n"/>
      <c r="E13" s="11" t="n">
        <v>265533.55</v>
      </c>
      <c r="F13" s="11" t="n">
        <v>287998.48</v>
      </c>
      <c r="G13" s="10" t="inlineStr">
        <is>
          <t>同上</t>
        </is>
      </c>
      <c r="H13" s="10" t="inlineStr">
        <is>
          <t>S2/S1</t>
        </is>
      </c>
    </row>
    <row r="14">
      <c r="A14" s="9" t="inlineStr">
        <is>
          <t>基本每股收益</t>
        </is>
      </c>
      <c r="B14" s="10" t="inlineStr">
        <is>
          <t>元</t>
        </is>
      </c>
      <c r="C14" s="13" t="n"/>
      <c r="D14" s="14" t="n">
        <v>-0.09</v>
      </c>
      <c r="E14" s="13" t="n"/>
      <c r="F14" s="14" t="n">
        <v>0.75</v>
      </c>
      <c r="G14" s="10" t="inlineStr">
        <is>
          <t>未审计</t>
        </is>
      </c>
      <c r="H14" s="10" t="inlineStr">
        <is>
          <t>S1</t>
        </is>
      </c>
    </row>
    <row r="16">
      <c r="A16" s="16" t="inlineStr">
        <is>
          <t>2026年1-6月预计数据（招股书·预测·未经审计或审阅·不构成盈利预测）</t>
        </is>
      </c>
    </row>
    <row r="17">
      <c r="A17" s="6" t="inlineStr">
        <is>
          <t>项目</t>
        </is>
      </c>
      <c r="B17" s="6" t="inlineStr">
        <is>
          <t>单位</t>
        </is>
      </c>
      <c r="C17" s="6" t="inlineStr">
        <is>
          <t>预计下限</t>
        </is>
      </c>
      <c r="D17" s="6" t="inlineStr">
        <is>
          <t>预计上限</t>
        </is>
      </c>
      <c r="E17" s="6" t="inlineStr">
        <is>
          <t>上年同期</t>
        </is>
      </c>
      <c r="F17" s="6" t="inlineStr">
        <is>
          <t>同比区间</t>
        </is>
      </c>
      <c r="G17" s="6" t="inlineStr">
        <is>
          <t>属性</t>
        </is>
      </c>
      <c r="H17" s="6" t="inlineStr">
        <is>
          <t>来源</t>
        </is>
      </c>
    </row>
    <row r="18">
      <c r="A18" s="9" t="inlineStr">
        <is>
          <t>营业收入</t>
        </is>
      </c>
      <c r="B18" s="2" t="inlineStr">
        <is>
          <t>万元</t>
        </is>
      </c>
      <c r="C18" s="17" t="n">
        <v>105200</v>
      </c>
      <c r="D18" s="17" t="n">
        <v>112800</v>
      </c>
      <c r="E18" s="17" t="n">
        <v>77571.92</v>
      </c>
      <c r="F18" s="2" t="inlineStr">
        <is>
          <t>+35.62%至+45.41%</t>
        </is>
      </c>
      <c r="G18" s="2" t="inlineStr">
        <is>
          <t>预测</t>
        </is>
      </c>
      <c r="H18" s="2" t="inlineStr">
        <is>
          <t>S2</t>
        </is>
      </c>
    </row>
    <row r="19">
      <c r="A19" s="9" t="inlineStr">
        <is>
          <t>归母净利润</t>
        </is>
      </c>
      <c r="B19" s="2" t="inlineStr">
        <is>
          <t>万元</t>
        </is>
      </c>
      <c r="C19" s="17" t="n">
        <v>25800</v>
      </c>
      <c r="D19" s="17" t="n">
        <v>30600</v>
      </c>
      <c r="E19" s="17" t="n">
        <v>-3202.45</v>
      </c>
      <c r="F19" s="2" t="inlineStr">
        <is>
          <t>扭亏</t>
        </is>
      </c>
      <c r="G19" s="2" t="inlineStr">
        <is>
          <t>预测</t>
        </is>
      </c>
      <c r="H19" s="2" t="inlineStr">
        <is>
          <t>S2</t>
        </is>
      </c>
    </row>
    <row r="20">
      <c r="A20" s="9" t="inlineStr">
        <is>
          <t>扣非归母净利润</t>
        </is>
      </c>
      <c r="B20" s="2" t="inlineStr">
        <is>
          <t>万元</t>
        </is>
      </c>
      <c r="C20" s="17" t="n">
        <v>23600</v>
      </c>
      <c r="D20" s="17" t="n">
        <v>28300</v>
      </c>
      <c r="E20" s="17" t="n">
        <v>30243.35</v>
      </c>
      <c r="F20" s="2" t="inlineStr">
        <is>
          <t>-21.97%至-6.43%</t>
        </is>
      </c>
      <c r="G20" s="2" t="inlineStr">
        <is>
          <t>预测</t>
        </is>
      </c>
      <c r="H20" s="2" t="inlineStr">
        <is>
          <t>S2</t>
        </is>
      </c>
    </row>
    <row r="22">
      <c r="A22" s="3" t="inlineStr">
        <is>
          <t>IPO与发行要素（S1上市公告书, 2026-08-18）</t>
        </is>
      </c>
    </row>
    <row r="23">
      <c r="A23" s="9" t="inlineStr">
        <is>
          <t>发行价格</t>
        </is>
      </c>
      <c r="B23" s="11" t="n">
        <v>150.8</v>
      </c>
      <c r="C23" s="2" t="inlineStr">
        <is>
          <t>元/股</t>
        </is>
      </c>
    </row>
    <row r="24">
      <c r="A24" s="9" t="inlineStr">
        <is>
          <t>发行后总股本</t>
        </is>
      </c>
      <c r="B24" s="11" t="n">
        <v>40446.434</v>
      </c>
      <c r="C24" s="2" t="inlineStr">
        <is>
          <t>万股</t>
        </is>
      </c>
    </row>
    <row r="25">
      <c r="A25" s="9" t="inlineStr">
        <is>
          <t>募集资金总额</t>
        </is>
      </c>
      <c r="B25" s="11" t="n">
        <v>609932.22</v>
      </c>
      <c r="C25" s="2" t="inlineStr">
        <is>
          <t>万元</t>
        </is>
      </c>
    </row>
    <row r="26">
      <c r="A26" s="9" t="inlineStr">
        <is>
          <t>募集资金净额</t>
        </is>
      </c>
      <c r="B26" s="11" t="n">
        <v>591714.92</v>
      </c>
      <c r="C26" s="2" t="inlineStr">
        <is>
          <t>万元</t>
        </is>
      </c>
    </row>
    <row r="27">
      <c r="A27" s="9" t="inlineStr">
        <is>
          <t>发行费用(不含税)</t>
        </is>
      </c>
      <c r="B27" s="11" t="n">
        <v>18217.31</v>
      </c>
      <c r="C27" s="2" t="inlineStr">
        <is>
          <t>万元</t>
        </is>
      </c>
    </row>
    <row r="28">
      <c r="A28" s="9" t="inlineStr">
        <is>
          <t>发行市盈率(扣非孰低)</t>
        </is>
      </c>
      <c r="B28" s="11" t="n">
        <v>219.23</v>
      </c>
      <c r="C28" s="2" t="inlineStr">
        <is>
          <t>倍</t>
        </is>
      </c>
    </row>
    <row r="29">
      <c r="A29" s="9" t="inlineStr">
        <is>
          <t>发行市净率</t>
        </is>
      </c>
      <c r="B29" s="14" t="n">
        <v>7.16</v>
      </c>
      <c r="C29" s="2" t="inlineStr">
        <is>
          <t>倍</t>
        </is>
      </c>
    </row>
    <row r="30">
      <c r="A30" s="9" t="inlineStr">
        <is>
          <t>发行后每股收益</t>
        </is>
      </c>
      <c r="B30" s="14" t="n">
        <v>0.6899999999999999</v>
      </c>
      <c r="C30" s="2" t="inlineStr">
        <is>
          <t>元</t>
        </is>
      </c>
    </row>
    <row r="31">
      <c r="A31" s="9" t="inlineStr">
        <is>
          <t>发行后每股净资产</t>
        </is>
      </c>
      <c r="B31" s="14" t="n">
        <v>21.07</v>
      </c>
      <c r="C31" s="2" t="inlineStr">
        <is>
          <t>元</t>
        </is>
      </c>
    </row>
    <row r="32">
      <c r="A32" s="9" t="inlineStr">
        <is>
          <t>行业平均静态市盈率(T-3,C34)</t>
        </is>
      </c>
      <c r="B32" s="14" t="n">
        <v>38.56</v>
      </c>
      <c r="C32" s="2" t="inlineStr">
        <is>
          <t>倍</t>
        </is>
      </c>
    </row>
    <row r="33">
      <c r="A33" s="9" t="inlineStr">
        <is>
          <t>拟使用募集资金(募投合计)</t>
        </is>
      </c>
      <c r="B33" s="11" t="n">
        <v>420171.12</v>
      </c>
      <c r="C33" s="2" t="inlineStr">
        <is>
          <t>万元</t>
        </is>
      </c>
    </row>
    <row r="34">
      <c r="A34" s="9" t="inlineStr">
        <is>
          <t>发行前最后一轮投后估值(2025-06)</t>
        </is>
      </c>
      <c r="B34" s="11" t="n">
        <v>1270000</v>
      </c>
      <c r="C34" s="2" t="inlineStr">
        <is>
          <t>万元</t>
        </is>
      </c>
    </row>
    <row r="36">
      <c r="A36" s="9" t="inlineStr">
        <is>
          <t>证券代码/上市板块/上市日期</t>
        </is>
      </c>
      <c r="B36" s="18" t="inlineStr">
        <is>
          <t>688836.SH / 科创板 / 2026-08-19</t>
        </is>
      </c>
    </row>
    <row r="37">
      <c r="A37" s="9" t="inlineStr">
        <is>
          <t>本次发行新股数量</t>
        </is>
      </c>
      <c r="B37" s="18" t="inlineStr">
        <is>
          <t>4,044.6434万股（占发行后总股本10%）</t>
        </is>
      </c>
    </row>
    <row r="38">
      <c r="A38" s="9" t="inlineStr">
        <is>
          <t>特别表决权: 王兴兴表决权</t>
        </is>
      </c>
      <c r="B38" s="18" t="inlineStr">
        <is>
          <t>发行前68.7816%; 发行后≤65.3090%</t>
        </is>
      </c>
    </row>
    <row r="39">
      <c r="A39" s="9" t="inlineStr">
        <is>
          <t>战略配售</t>
        </is>
      </c>
      <c r="B39" s="18" t="inlineStr">
        <is>
          <t>占20%; 社保基金/深度求索/昆仑资本/南网产融/天翼资本/启善投资(腾讯关联)/中证投资/员工资管计划, 限售12-36个月</t>
        </is>
      </c>
    </row>
  </sheetData>
  <mergeCells count="5">
    <mergeCell ref="B39:F39"/>
    <mergeCell ref="B38:F38"/>
    <mergeCell ref="A16:H16"/>
    <mergeCell ref="B37:F37"/>
    <mergeCell ref="B36:F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核心计算（全部为公式，修改原始数据自动重算）</t>
        </is>
      </c>
    </row>
    <row r="3">
      <c r="A3" s="6" t="inlineStr">
        <is>
          <t>项目</t>
        </is>
      </c>
      <c r="B3" s="6" t="inlineStr">
        <is>
          <t>2024</t>
        </is>
      </c>
      <c r="C3" s="6" t="inlineStr">
        <is>
          <t>2025</t>
        </is>
      </c>
      <c r="D3" s="6" t="inlineStr">
        <is>
          <t>2026H1</t>
        </is>
      </c>
      <c r="E3" s="6" t="inlineStr">
        <is>
          <t>公式/口径</t>
        </is>
      </c>
    </row>
    <row r="4">
      <c r="A4" s="9" t="inlineStr">
        <is>
          <t>营业收入同比增速</t>
        </is>
      </c>
      <c r="B4" s="19">
        <f>'原始数据-年度'!D4/'原始数据-年度'!C4-1</f>
        <v/>
      </c>
      <c r="C4" s="19">
        <f>'原始数据-年度'!E4/'原始数据-年度'!D4-1</f>
        <v/>
      </c>
      <c r="D4" s="19">
        <f>'原始数据-期间与IPO'!F4/'原始数据-期间与IPO'!D4-1</f>
        <v/>
      </c>
      <c r="E4" s="2" t="inlineStr">
        <is>
          <t>收入YoY</t>
        </is>
      </c>
    </row>
    <row r="5">
      <c r="A5" s="9" t="inlineStr">
        <is>
          <t>扣非归母净利润同比增速</t>
        </is>
      </c>
      <c r="B5" s="19">
        <f>IF('原始数据-年度'!C22&lt;0,"基期为负",'原始数据-年度'!D22/'原始数据-年度'!C22-1)</f>
        <v/>
      </c>
      <c r="C5" s="19">
        <f>IF('原始数据-年度'!D22&lt;0,"基期为负",'原始数据-年度'!E22/'原始数据-年度'!D22-1)</f>
        <v/>
      </c>
      <c r="D5" s="19">
        <f>IF('原始数据-期间与IPO'!D7&lt;0,"基期为负",'原始数据-期间与IPO'!F7/'原始数据-期间与IPO'!D7-1)</f>
        <v/>
      </c>
      <c r="E5" s="2" t="inlineStr">
        <is>
          <t>扣非YoY</t>
        </is>
      </c>
    </row>
    <row r="6">
      <c r="A6" s="9" t="inlineStr">
        <is>
          <t>归母净利润同比增速</t>
        </is>
      </c>
      <c r="B6" s="19">
        <f>IF('原始数据-年度'!C21&lt;0,"基期为负",'原始数据-年度'!D21/'原始数据-年度'!C21-1)</f>
        <v/>
      </c>
      <c r="C6" s="19">
        <f>IF('原始数据-年度'!D21&lt;0,"基期为负",'原始数据-年度'!E21/'原始数据-年度'!D21-1)</f>
        <v/>
      </c>
      <c r="D6" s="19">
        <f>IF('原始数据-期间与IPO'!D6&lt;0,"基期为负",'原始数据-期间与IPO'!F6/'原始数据-期间与IPO'!D6-1)</f>
        <v/>
      </c>
      <c r="E6" s="2" t="inlineStr">
        <is>
          <t>归母YoY</t>
        </is>
      </c>
    </row>
    <row r="7">
      <c r="A7" s="9" t="inlineStr">
        <is>
          <t>人形机器人收入占主营比重</t>
        </is>
      </c>
      <c r="B7" s="19">
        <f>'原始数据-年度'!D7/'原始数据-年度'!D5</f>
        <v/>
      </c>
      <c r="C7" s="19">
        <f>'原始数据-年度'!E7/'原始数据-年度'!E5</f>
        <v/>
      </c>
      <c r="D7" s="13" t="n"/>
      <c r="E7" s="2" t="inlineStr">
        <is>
          <t>人形/主营</t>
        </is>
      </c>
    </row>
    <row r="8">
      <c r="A8" s="9" t="inlineStr">
        <is>
          <t>四足机器人收入占主营比重</t>
        </is>
      </c>
      <c r="B8" s="19">
        <f>'原始数据-年度'!D6/'原始数据-年度'!D5</f>
        <v/>
      </c>
      <c r="C8" s="19">
        <f>'原始数据-年度'!E6/'原始数据-年度'!E5</f>
        <v/>
      </c>
      <c r="D8" s="13" t="n"/>
      <c r="E8" s="2" t="inlineStr">
        <is>
          <t>四足/主营</t>
        </is>
      </c>
    </row>
    <row r="9">
      <c r="A9" s="9" t="inlineStr">
        <is>
          <t>四足机器人销量同比</t>
        </is>
      </c>
      <c r="B9" s="19">
        <f>'原始数据-年度'!D35/'原始数据-年度'!C35-1</f>
        <v/>
      </c>
      <c r="C9" s="19">
        <f>'原始数据-年度'!E35/'原始数据-年度'!D35-1</f>
        <v/>
      </c>
      <c r="D9" s="13" t="n"/>
      <c r="E9" s="2" t="inlineStr">
        <is>
          <t>销量YoY</t>
        </is>
      </c>
    </row>
    <row r="10">
      <c r="A10" s="9" t="inlineStr">
        <is>
          <t>人形机器人销量同比</t>
        </is>
      </c>
      <c r="B10" s="19">
        <f>'原始数据-年度'!D37/'原始数据-年度'!C37-1</f>
        <v/>
      </c>
      <c r="C10" s="19">
        <f>'原始数据-年度'!E37/'原始数据-年度'!D37-1</f>
        <v/>
      </c>
      <c r="D10" s="13" t="n"/>
      <c r="E10" s="2" t="inlineStr">
        <is>
          <t>销量YoY</t>
        </is>
      </c>
    </row>
    <row r="11">
      <c r="A11" s="9" t="inlineStr">
        <is>
          <t>综合毛利率</t>
        </is>
      </c>
      <c r="B11" s="19">
        <f>'原始数据-年度'!C15</f>
        <v/>
      </c>
      <c r="C11" s="19">
        <f>'原始数据-年度'!E15</f>
        <v/>
      </c>
      <c r="D11" s="19">
        <f>1-'原始数据-期间与IPO'!F5/'原始数据-期间与IPO'!F4</f>
        <v/>
      </c>
      <c r="E11" s="2" t="inlineStr">
        <is>
          <t>26H1按未审计成本推算</t>
        </is>
      </c>
    </row>
    <row r="12">
      <c r="A12" s="9" t="inlineStr">
        <is>
          <t>主营业务毛利率</t>
        </is>
      </c>
      <c r="B12" s="19">
        <f>'原始数据-年度'!C10</f>
        <v/>
      </c>
      <c r="C12" s="19">
        <f>'原始数据-年度'!E10</f>
        <v/>
      </c>
      <c r="D12" s="13" t="n"/>
      <c r="E12" s="2" t="inlineStr">
        <is>
          <t>披露值</t>
        </is>
      </c>
    </row>
    <row r="13">
      <c r="A13" s="9" t="inlineStr">
        <is>
          <t>扣非净利率</t>
        </is>
      </c>
      <c r="B13" s="19">
        <f>'原始数据-年度'!C22/'原始数据-年度'!C4</f>
        <v/>
      </c>
      <c r="C13" s="19">
        <f>'原始数据-年度'!E22/'原始数据-年度'!E4</f>
        <v/>
      </c>
      <c r="D13" s="19">
        <f>'原始数据-期间与IPO'!F7/'原始数据-期间与IPO'!F4</f>
        <v/>
      </c>
      <c r="E13" s="2" t="inlineStr">
        <is>
          <t>扣非/收入</t>
        </is>
      </c>
    </row>
    <row r="14">
      <c r="A14" s="9" t="inlineStr">
        <is>
          <t>归母净利率</t>
        </is>
      </c>
      <c r="B14" s="19">
        <f>'原始数据-年度'!C21/'原始数据-年度'!C4</f>
        <v/>
      </c>
      <c r="C14" s="19">
        <f>'原始数据-年度'!E21/'原始数据-年度'!E4</f>
        <v/>
      </c>
      <c r="D14" s="19">
        <f>'原始数据-期间与IPO'!F6/'原始数据-期间与IPO'!F4</f>
        <v/>
      </c>
      <c r="E14" s="2" t="inlineStr">
        <is>
          <t>归母/收入</t>
        </is>
      </c>
    </row>
    <row r="15">
      <c r="A15" s="9" t="inlineStr">
        <is>
          <t>研发费用率</t>
        </is>
      </c>
      <c r="B15" s="19">
        <f>'原始数据-年度'!C26/'原始数据-年度'!C4</f>
        <v/>
      </c>
      <c r="C15" s="19">
        <f>'原始数据-年度'!E26/'原始数据-年度'!E4</f>
        <v/>
      </c>
      <c r="D15" s="19">
        <f>'原始数据-期间与IPO'!F9/'原始数据-期间与IPO'!F4</f>
        <v/>
      </c>
      <c r="E15" s="2" t="inlineStr">
        <is>
          <t>研发/收入</t>
        </is>
      </c>
    </row>
    <row r="16">
      <c r="A16" s="9" t="inlineStr">
        <is>
          <t>销售费用率</t>
        </is>
      </c>
      <c r="B16" s="19">
        <f>'原始数据-年度'!C24/'原始数据-年度'!C4</f>
        <v/>
      </c>
      <c r="C16" s="19">
        <f>'原始数据-年度'!E24/'原始数据-年度'!E4</f>
        <v/>
      </c>
      <c r="D16" s="19">
        <f>'原始数据-期间与IPO'!F10/'原始数据-期间与IPO'!F4</f>
        <v/>
      </c>
      <c r="E16" s="2" t="inlineStr">
        <is>
          <t>销售/收入</t>
        </is>
      </c>
    </row>
    <row r="17">
      <c r="A17" s="9" t="inlineStr">
        <is>
          <t>管理费用率</t>
        </is>
      </c>
      <c r="B17" s="19">
        <f>'原始数据-年度'!C25/'原始数据-年度'!C4</f>
        <v/>
      </c>
      <c r="C17" s="19">
        <f>'原始数据-年度'!E25/'原始数据-年度'!E4</f>
        <v/>
      </c>
      <c r="D17" s="19">
        <f>'原始数据-期间与IPO'!F11/'原始数据-期间与IPO'!F4</f>
        <v/>
      </c>
      <c r="E17" s="2" t="inlineStr">
        <is>
          <t>25含股份支付</t>
        </is>
      </c>
    </row>
    <row r="18">
      <c r="A18" s="9" t="inlineStr">
        <is>
          <t>经营现金流/扣非净利润</t>
        </is>
      </c>
      <c r="B18" s="20">
        <f>IF('原始数据-年度'!C22&lt;=0,"基期为负",'原始数据-年度'!C28/'原始数据-年度'!C22)</f>
        <v/>
      </c>
      <c r="C18" s="20">
        <f>'原始数据-年度'!E28/'原始数据-年度'!E22</f>
        <v/>
      </c>
      <c r="D18" s="20">
        <f>'原始数据-期间与IPO'!F8/'原始数据-期间与IPO'!F7</f>
        <v/>
      </c>
      <c r="E18" s="2" t="inlineStr">
        <is>
          <t>盈利现金含量</t>
        </is>
      </c>
    </row>
    <row r="19">
      <c r="A19" s="4" t="inlineStr">
        <is>
          <t>营业收入CAGR(2023-2025)</t>
        </is>
      </c>
      <c r="C19" s="19">
        <f>('原始数据-年度'!E4/'原始数据-年度'!C4)^(1/2)-1</f>
        <v/>
      </c>
      <c r="E19" s="2" t="inlineStr">
        <is>
          <t>(末/初)^(1/2)-1</t>
        </is>
      </c>
    </row>
    <row r="21">
      <c r="A21" s="21" t="inlineStr">
        <is>
          <t>单价交叉验证（计算值 vs 披露值）</t>
        </is>
      </c>
    </row>
    <row r="22">
      <c r="A22" s="6" t="inlineStr">
        <is>
          <t>项目</t>
        </is>
      </c>
      <c r="B22" s="6" t="inlineStr">
        <is>
          <t>2023</t>
        </is>
      </c>
      <c r="C22" s="6" t="inlineStr">
        <is>
          <t>2024</t>
        </is>
      </c>
      <c r="D22" s="6" t="inlineStr">
        <is>
          <t>2025</t>
        </is>
      </c>
      <c r="E22" s="6" t="inlineStr">
        <is>
          <t>口径</t>
        </is>
      </c>
    </row>
    <row r="23">
      <c r="A23" s="9" t="inlineStr">
        <is>
          <t>四足计算单价(万元/台)</t>
        </is>
      </c>
      <c r="B23" s="20">
        <f>'原始数据-年度'!C6/'原始数据-年度'!C35</f>
        <v/>
      </c>
      <c r="C23" s="20">
        <f>'原始数据-年度'!D6/'原始数据-年度'!D35</f>
        <v/>
      </c>
      <c r="D23" s="20">
        <f>'原始数据-年度'!E6/'原始数据-年度'!E35</f>
        <v/>
      </c>
      <c r="E23" s="2" t="inlineStr">
        <is>
          <t>收入/销量</t>
        </is>
      </c>
    </row>
    <row r="24">
      <c r="A24" s="9" t="inlineStr">
        <is>
          <t>四足披露单价(万元/台)</t>
        </is>
      </c>
      <c r="B24" s="20">
        <f>'原始数据-年度'!C36</f>
        <v/>
      </c>
      <c r="C24" s="20">
        <f>'原始数据-年度'!D36</f>
        <v/>
      </c>
      <c r="D24" s="20">
        <f>'原始数据-年度'!E36</f>
        <v/>
      </c>
      <c r="E24" s="2" t="inlineStr">
        <is>
          <t>S2披露</t>
        </is>
      </c>
    </row>
    <row r="25">
      <c r="A25" s="9" t="inlineStr">
        <is>
          <t>差异</t>
        </is>
      </c>
      <c r="B25" s="20">
        <f>B23-B24</f>
        <v/>
      </c>
      <c r="C25" s="20">
        <f>C23-C24</f>
        <v/>
      </c>
      <c r="D25" s="20">
        <f>D23-D24</f>
        <v/>
      </c>
      <c r="E25" s="2" t="inlineStr">
        <is>
          <t>四舍五入差异</t>
        </is>
      </c>
    </row>
    <row r="26">
      <c r="A26" s="9" t="inlineStr">
        <is>
          <t>人形计算单价(万元/台)</t>
        </is>
      </c>
      <c r="B26" s="20">
        <f>'原始数据-年度'!C7/'原始数据-年度'!C37</f>
        <v/>
      </c>
      <c r="C26" s="20">
        <f>'原始数据-年度'!D7/'原始数据-年度'!D37</f>
        <v/>
      </c>
      <c r="D26" s="20">
        <f>'原始数据-年度'!E7/'原始数据-年度'!E37</f>
        <v/>
      </c>
      <c r="E26" s="2" t="inlineStr">
        <is>
          <t>收入/销量</t>
        </is>
      </c>
    </row>
    <row r="27">
      <c r="A27" s="9" t="inlineStr">
        <is>
          <t>人形披露单价(万元/台)</t>
        </is>
      </c>
      <c r="B27" s="20">
        <f>'原始数据-年度'!C38</f>
        <v/>
      </c>
      <c r="C27" s="20">
        <f>'原始数据-年度'!D38</f>
        <v/>
      </c>
      <c r="D27" s="20">
        <f>'原始数据-年度'!E38</f>
        <v/>
      </c>
      <c r="E27" s="2" t="inlineStr">
        <is>
          <t>S2披露</t>
        </is>
      </c>
    </row>
    <row r="28">
      <c r="A28" s="9" t="inlineStr">
        <is>
          <t>差异</t>
        </is>
      </c>
      <c r="B28" s="20">
        <f>B26-B27</f>
        <v/>
      </c>
      <c r="C28" s="20">
        <f>C26-C27</f>
        <v/>
      </c>
      <c r="D28" s="20">
        <f>D26-D27</f>
        <v/>
      </c>
      <c r="E28" s="2" t="inlineStr">
        <is>
          <t>四舍五入差异</t>
        </is>
      </c>
    </row>
    <row r="30">
      <c r="A30" s="21" t="inlineStr">
        <is>
          <t>发行估值测算</t>
        </is>
      </c>
    </row>
    <row r="31">
      <c r="A31" s="9" t="inlineStr">
        <is>
          <t>发行市值(万元)</t>
        </is>
      </c>
      <c r="B31" s="22">
        <f>'原始数据-期间与IPO'!B23*'原始数据-期间与IPO'!B24</f>
        <v/>
      </c>
      <c r="C31" s="2" t="inlineStr">
        <is>
          <t>发行价×发行后总股本</t>
        </is>
      </c>
    </row>
    <row r="32">
      <c r="A32" s="9" t="inlineStr">
        <is>
          <t>发行市值/募资总额(倍)</t>
        </is>
      </c>
      <c r="B32" s="20">
        <f>B31/'原始数据-期间与IPO'!B25</f>
        <v/>
      </c>
      <c r="C32" s="2" t="inlineStr">
        <is>
          <t>应≈10(新股占10%)</t>
        </is>
      </c>
    </row>
    <row r="33">
      <c r="A33" s="9" t="inlineStr">
        <is>
          <t>P/S(2025,发行市值口径,倍)</t>
        </is>
      </c>
      <c r="B33" s="20">
        <f>B31/'原始数据-年度'!E4</f>
        <v/>
      </c>
      <c r="C33" s="2" t="inlineStr">
        <is>
          <t>市值/2025收入</t>
        </is>
      </c>
    </row>
    <row r="34">
      <c r="A34" s="9" t="inlineStr">
        <is>
          <t>P/E交叉验证(倍)</t>
        </is>
      </c>
      <c r="B34" s="20">
        <f>'原始数据-期间与IPO'!B23/'原始数据-期间与IPO'!B30</f>
        <v/>
      </c>
      <c r="C34" s="2" t="inlineStr">
        <is>
          <t>发行价/发行后EPS,披露219.23</t>
        </is>
      </c>
    </row>
    <row r="35">
      <c r="A35" s="9" t="inlineStr">
        <is>
          <t>EPS交叉验证(元)</t>
        </is>
      </c>
      <c r="B35" s="20">
        <f>'原始数据-年度'!E21/'原始数据-期间与IPO'!B24</f>
        <v/>
      </c>
      <c r="C35" s="2" t="inlineStr">
        <is>
          <t>2025孰低归母/总股本,披露0.69</t>
        </is>
      </c>
    </row>
    <row r="36">
      <c r="A36" s="9" t="inlineStr">
        <is>
          <t>募资净额勾稽(万元)</t>
        </is>
      </c>
      <c r="B36" s="22">
        <f>'原始数据-期间与IPO'!B25-'原始数据-期间与IPO'!B27-'原始数据-期间与IPO'!B26</f>
        <v/>
      </c>
      <c r="C36" s="2" t="inlineStr">
        <is>
          <t>总额-费用-净额=0</t>
        </is>
      </c>
    </row>
    <row r="38">
      <c r="A38" s="21" t="inlineStr">
        <is>
          <t>预测 vs 实际（2026H1：招股书预计区间 vs 上市公告书实际·未审计）</t>
        </is>
      </c>
    </row>
    <row r="39">
      <c r="A39" s="6" t="inlineStr">
        <is>
          <t>项目</t>
        </is>
      </c>
      <c r="B39" s="6" t="inlineStr">
        <is>
          <t>预计下限</t>
        </is>
      </c>
      <c r="C39" s="6" t="inlineStr">
        <is>
          <t>预计上限</t>
        </is>
      </c>
      <c r="D39" s="6" t="inlineStr">
        <is>
          <t>实际</t>
        </is>
      </c>
      <c r="E39" s="6" t="inlineStr">
        <is>
          <t>对照结论</t>
        </is>
      </c>
    </row>
    <row r="40">
      <c r="A40" s="9" t="inlineStr">
        <is>
          <t>营业收入</t>
        </is>
      </c>
      <c r="B40" s="22">
        <f>'原始数据-期间与IPO'!C18</f>
        <v/>
      </c>
      <c r="C40" s="22">
        <f>'原始数据-期间与IPO'!D18</f>
        <v/>
      </c>
      <c r="D40" s="22">
        <f>'原始数据-期间与IPO'!F4</f>
        <v/>
      </c>
      <c r="E40" s="23">
        <f>IF('原始数据-期间与IPO'!F4&gt;'原始数据-期间与IPO'!D18,"实际高于预计上限",IF('原始数据-期间与IPO'!F4&lt;'原始数据-期间与IPO'!C18,"低于下限","区间内"))</f>
        <v/>
      </c>
    </row>
    <row r="41">
      <c r="A41" s="9" t="inlineStr">
        <is>
          <t>归母净利润</t>
        </is>
      </c>
      <c r="B41" s="22">
        <f>'原始数据-期间与IPO'!C19</f>
        <v/>
      </c>
      <c r="C41" s="22">
        <f>'原始数据-期间与IPO'!D19</f>
        <v/>
      </c>
      <c r="D41" s="22">
        <f>'原始数据-期间与IPO'!F6</f>
        <v/>
      </c>
      <c r="E41" s="23">
        <f>IF('原始数据-期间与IPO'!F6&gt;'原始数据-期间与IPO'!D19,"实际高于预计上限",IF('原始数据-期间与IPO'!F6&lt;'原始数据-期间与IPO'!C19,"低于下限","区间内"))</f>
        <v/>
      </c>
    </row>
    <row r="42">
      <c r="A42" s="9" t="inlineStr">
        <is>
          <t>扣非归母净利润</t>
        </is>
      </c>
      <c r="B42" s="22">
        <f>'原始数据-期间与IPO'!C20</f>
        <v/>
      </c>
      <c r="C42" s="22">
        <f>'原始数据-期间与IPO'!D20</f>
        <v/>
      </c>
      <c r="D42" s="22">
        <f>'原始数据-期间与IPO'!F7</f>
        <v/>
      </c>
      <c r="E42" s="23">
        <f>IF('原始数据-期间与IPO'!F7&gt;'原始数据-期间与IPO'!D20,"实际高于预计上限",IF('原始数据-期间与IPO'!F7&lt;'原始数据-期间与IPO'!C20,"低于下限","区间内"))</f>
        <v/>
      </c>
    </row>
    <row r="44">
      <c r="A44" s="21" t="inlineStr">
        <is>
          <t>数据勾稽校验（结果应≈0）</t>
        </is>
      </c>
    </row>
    <row r="45">
      <c r="A45" s="9" t="inlineStr">
        <is>
          <t>2023 分产品收入合计-主营</t>
        </is>
      </c>
      <c r="B45" s="24">
        <f>SUM('原始数据-年度'!C6:C9)-'原始数据-年度'!C5</f>
        <v/>
      </c>
    </row>
    <row r="46">
      <c r="A46" s="9" t="inlineStr">
        <is>
          <t>2024 分产品收入合计-主营</t>
        </is>
      </c>
      <c r="B46" s="24">
        <f>SUM('原始数据-年度'!D6:D9)-'原始数据-年度'!D5</f>
        <v/>
      </c>
    </row>
    <row r="47">
      <c r="A47" s="9" t="inlineStr">
        <is>
          <t>2025 分产品收入合计-主营</t>
        </is>
      </c>
      <c r="B47" s="24">
        <f>SUM('原始数据-年度'!E6:E9)-'原始数据-年度'!E5</f>
        <v/>
      </c>
    </row>
    <row r="48">
      <c r="A48" s="9" t="inlineStr">
        <is>
          <t>2023 分产品毛利合计-主营毛利</t>
        </is>
      </c>
      <c r="B48" s="24">
        <f>SUM('原始数据-年度'!C17:C20)-'原始数据-年度'!C16</f>
        <v/>
      </c>
    </row>
    <row r="49">
      <c r="A49" s="9" t="inlineStr">
        <is>
          <t>2024 分产品毛利合计-主营毛利</t>
        </is>
      </c>
      <c r="B49" s="24">
        <f>SUM('原始数据-年度'!D17:D20)-'原始数据-年度'!D16</f>
        <v/>
      </c>
    </row>
    <row r="50">
      <c r="A50" s="9" t="inlineStr">
        <is>
          <t>2025 分产品毛利合计-主营毛利</t>
        </is>
      </c>
      <c r="B50" s="24">
        <f>SUM('原始数据-年度'!E17:E20)-'原始数据-年度'!E16</f>
        <v/>
      </c>
    </row>
    <row r="51">
      <c r="A51" s="9" t="inlineStr">
        <is>
          <t>2025 四足毛利交叉(收入×毛利率-毛利)</t>
        </is>
      </c>
      <c r="B51" s="24">
        <f>'原始数据-年度'!E6*'原始数据-年度'!E11-'原始数据-年度'!E17</f>
        <v/>
      </c>
    </row>
    <row r="52">
      <c r="A52" s="9" t="inlineStr">
        <is>
          <t>2025 人形毛利交叉(收入×毛利率-毛利)</t>
        </is>
      </c>
      <c r="B52" s="24">
        <f>'原始数据-年度'!E7*'原始数据-年度'!E12-'原始数据-年度'!E18</f>
        <v/>
      </c>
    </row>
    <row r="53">
      <c r="A53" s="9" t="inlineStr">
        <is>
          <t>CAGR与披露226.78%之差</t>
        </is>
      </c>
      <c r="B53" s="25">
        <f>('原始数据-年度'!E4/'原始数据-年度'!C4)^(1/2)-1-2.2678</f>
        <v/>
      </c>
    </row>
    <row r="54">
      <c r="A54" s="9" t="inlineStr">
        <is>
          <t>2026H1收入YoY与披露48.54%之差</t>
        </is>
      </c>
      <c r="B54" s="25">
        <f>'原始数据-期间与IPO'!F4/'原始数据-期间与IPO'!D4-1-0.4854</f>
        <v/>
      </c>
    </row>
    <row r="56">
      <c r="A56" s="21" t="inlineStr">
        <is>
          <t>图表数据区（供“趋势图表”引用）</t>
        </is>
      </c>
    </row>
    <row r="57">
      <c r="A57" s="6" t="inlineStr">
        <is>
          <t>项目</t>
        </is>
      </c>
      <c r="B57" s="6" t="inlineStr">
        <is>
          <t>2023</t>
        </is>
      </c>
      <c r="C57" s="6" t="inlineStr">
        <is>
          <t>2024</t>
        </is>
      </c>
      <c r="D57" s="6" t="inlineStr">
        <is>
          <t>2025</t>
        </is>
      </c>
    </row>
    <row r="58">
      <c r="A58" s="9" t="inlineStr">
        <is>
          <t>营业收入(亿元)</t>
        </is>
      </c>
      <c r="B58" s="22">
        <f>'原始数据-年度'!C4/10000</f>
        <v/>
      </c>
      <c r="C58" s="22">
        <f>'原始数据-年度'!D4/10000</f>
        <v/>
      </c>
      <c r="D58" s="22">
        <f>'原始数据-年度'!E4/10000</f>
        <v/>
      </c>
    </row>
    <row r="59">
      <c r="A59" s="9" t="inlineStr">
        <is>
          <t>营业收入YoY</t>
        </is>
      </c>
      <c r="B59" s="13" t="n"/>
      <c r="C59" s="19">
        <f>'原始数据-年度'!D4/'原始数据-年度'!C4-1</f>
        <v/>
      </c>
      <c r="D59" s="19">
        <f>'原始数据-年度'!E4/'原始数据-年度'!D4-1</f>
        <v/>
      </c>
    </row>
    <row r="60">
      <c r="A60" s="9" t="inlineStr">
        <is>
          <t>归母净利润(亿元)</t>
        </is>
      </c>
      <c r="B60" s="22">
        <f>'原始数据-年度'!C21/10000</f>
        <v/>
      </c>
      <c r="C60" s="22">
        <f>'原始数据-年度'!D21/10000</f>
        <v/>
      </c>
      <c r="D60" s="22">
        <f>'原始数据-年度'!E21/10000</f>
        <v/>
      </c>
    </row>
    <row r="61">
      <c r="A61" s="9" t="inlineStr">
        <is>
          <t>扣非归母净利润(亿元)</t>
        </is>
      </c>
      <c r="B61" s="22">
        <f>'原始数据-年度'!C22/10000</f>
        <v/>
      </c>
      <c r="C61" s="22">
        <f>'原始数据-年度'!D22/10000</f>
        <v/>
      </c>
      <c r="D61" s="22">
        <f>'原始数据-年度'!E22/10000</f>
        <v/>
      </c>
    </row>
    <row r="62">
      <c r="A62" s="9" t="inlineStr">
        <is>
          <t>主营业务毛利率</t>
        </is>
      </c>
      <c r="B62" s="19">
        <f>'原始数据-年度'!C10</f>
        <v/>
      </c>
      <c r="C62" s="19">
        <f>'原始数据-年度'!D10</f>
        <v/>
      </c>
      <c r="D62" s="19">
        <f>'原始数据-年度'!E10</f>
        <v/>
      </c>
    </row>
    <row r="63">
      <c r="A63" s="9" t="inlineStr">
        <is>
          <t>四足机器人毛利率</t>
        </is>
      </c>
      <c r="B63" s="19">
        <f>'原始数据-年度'!C11</f>
        <v/>
      </c>
      <c r="C63" s="19">
        <f>'原始数据-年度'!D11</f>
        <v/>
      </c>
      <c r="D63" s="19">
        <f>'原始数据-年度'!E11</f>
        <v/>
      </c>
    </row>
    <row r="64">
      <c r="A64" s="9" t="inlineStr">
        <is>
          <t>人形机器人毛利率</t>
        </is>
      </c>
      <c r="B64" s="19">
        <f>'原始数据-年度'!C12</f>
        <v/>
      </c>
      <c r="C64" s="19">
        <f>'原始数据-年度'!D12</f>
        <v/>
      </c>
      <c r="D64" s="19">
        <f>'原始数据-年度'!E12</f>
        <v/>
      </c>
    </row>
    <row r="65">
      <c r="A65" s="9" t="inlineStr">
        <is>
          <t>人形机器人收入(亿元)</t>
        </is>
      </c>
      <c r="B65" s="22">
        <f>'原始数据-年度'!C7/10000</f>
        <v/>
      </c>
      <c r="C65" s="22">
        <f>'原始数据-年度'!D7/10000</f>
        <v/>
      </c>
      <c r="D65" s="22">
        <f>'原始数据-年度'!E7/10000</f>
        <v/>
      </c>
    </row>
    <row r="66">
      <c r="A66" s="9" t="inlineStr">
        <is>
          <t>四足机器人收入(亿元)</t>
        </is>
      </c>
      <c r="B66" s="22">
        <f>'原始数据-年度'!C6/10000</f>
        <v/>
      </c>
      <c r="C66" s="22">
        <f>'原始数据-年度'!D6/10000</f>
        <v/>
      </c>
      <c r="D66" s="22">
        <f>'原始数据-年度'!E6/10000</f>
        <v/>
      </c>
    </row>
    <row r="67">
      <c r="A67" s="9" t="inlineStr">
        <is>
          <t>组件及其他收入(亿元)</t>
        </is>
      </c>
      <c r="B67" s="22">
        <f>('原始数据-年度'!C8+'原始数据-年度'!C9)/10000</f>
        <v/>
      </c>
      <c r="C67" s="22">
        <f>('原始数据-年度'!D8+'原始数据-年度'!D9)/10000</f>
        <v/>
      </c>
      <c r="D67" s="22">
        <f>('原始数据-年度'!E8+'原始数据-年度'!E9)/10000</f>
        <v/>
      </c>
    </row>
    <row r="68">
      <c r="A68" s="9" t="inlineStr">
        <is>
          <t>四足销量(台)</t>
        </is>
      </c>
      <c r="B68" s="26">
        <f>'原始数据-年度'!C35</f>
        <v/>
      </c>
      <c r="C68" s="26">
        <f>'原始数据-年度'!D35</f>
        <v/>
      </c>
      <c r="D68" s="26">
        <f>'原始数据-年度'!E35</f>
        <v/>
      </c>
    </row>
    <row r="69">
      <c r="A69" s="9" t="inlineStr">
        <is>
          <t>人形销量(台)</t>
        </is>
      </c>
      <c r="B69" s="26">
        <f>'原始数据-年度'!C37</f>
        <v/>
      </c>
      <c r="C69" s="26">
        <f>'原始数据-年度'!D37</f>
        <v/>
      </c>
      <c r="D69" s="26">
        <f>'原始数据-年度'!E37</f>
        <v/>
      </c>
    </row>
  </sheetData>
  <mergeCells count="5">
    <mergeCell ref="A21:E21"/>
    <mergeCell ref="A30:E30"/>
    <mergeCell ref="A56:D56"/>
    <mergeCell ref="A38:E38"/>
    <mergeCell ref="A44:E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趋势图表（引用“核心计算”图表数据区，随数据自动更新）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分析结论（基于上交所披露文件，资料截止2026-08-30）</t>
        </is>
      </c>
    </row>
    <row r="3">
      <c r="A3" s="3" t="inlineStr">
        <is>
          <t>一、成长性</t>
        </is>
      </c>
    </row>
    <row r="4" ht="80" customHeight="1">
      <c r="A4" s="27" t="inlineStr">
        <is>
          <t>2023-2025年营业收入由15,913.44万元增至169,926.93万元，CAGR 226.78%（公式校验与披露一致）；扣非归母净利润由-1,801.91万元增至59,075.28万元，2024年起扭亏并快速放大。2026H1实现营业收入115,224.56万元（+48.54%，未审计），增速较报告期年度复合水平明显放缓，与招股书风险提示一致。</t>
        </is>
      </c>
    </row>
    <row r="6">
      <c r="A6" s="3" t="inlineStr">
        <is>
          <t>二、收入结构</t>
        </is>
      </c>
    </row>
    <row r="7" ht="80" customHeight="1">
      <c r="A7" s="27" t="inlineStr">
        <is>
          <t>人形机器人2025年收入86,783.19万元、占主营51.78%，首次超过四足机器人（41.62%）成为第一收入来源；2025年人形销量5,215台、出货5,511台（披露为全球第一），四足销量23,037台。产品结构切换是毛利率与估值叙事的核心驱动。</t>
        </is>
      </c>
    </row>
    <row r="9">
      <c r="A9" s="3" t="inlineStr">
        <is>
          <t>三、盈利能力</t>
        </is>
      </c>
    </row>
    <row r="10" ht="80" customHeight="1">
      <c r="A10" s="27" t="inlineStr">
        <is>
          <t>主营业务毛利率44.22%→56.74%→60.13%，2025年综合毛利率60.44%高于同行业可比公司均值44.44%。其中人形毛利率87.67%→69.26%→63.18%逐年回落（G1占比提升叠加主动降价），四足毛利率43.71%→56.72%持续改善。2025年归母净利率仅约16.4%，主因股份支付34,906.55万元计入管理费用；扣非净利率34.8%更能反映经营层面盈利。</t>
        </is>
      </c>
    </row>
    <row r="12">
      <c r="A12" s="3" t="inlineStr">
        <is>
          <t>四、费用与投入</t>
        </is>
      </c>
    </row>
    <row r="13" ht="80" customHeight="1">
      <c r="A13" s="27" t="inlineStr">
        <is>
          <t>研发费用4,995.18→7,001.70→14,496.56万元，费用率31.39%→8.53%（规模效应）；2026H1研发13,590.65万元、同比增加8,203.74万元，叠加春晚等品牌推广使销售费用大增，导致2026H1扣非净利同比-19.34%、2026Q1扣非-52.55%——高投入期利润承压是现阶段主要特征。</t>
        </is>
      </c>
    </row>
    <row r="15">
      <c r="A15" s="3" t="inlineStr">
        <is>
          <t>五、现金流与资产负债表</t>
        </is>
      </c>
    </row>
    <row r="16" ht="80" customHeight="1">
      <c r="A16" s="27" t="inlineStr">
        <is>
          <t>2025年经营现金流净额66,998.18万元，约为扣非净利的1.13倍，盈利现金含量高；2026H1为23,154.53万元（-32.53%），系备货与费用付现增加。2026-06-30总资产384,546.94万元、归母权益287,998.48万元、合并资产负债率约25.1%，货币资金约14.92亿元，叠加募资净额591,714.92万元，资金储备充裕。</t>
        </is>
      </c>
    </row>
    <row r="18">
      <c r="A18" s="3" t="inlineStr">
        <is>
          <t>六、估值与发行</t>
        </is>
      </c>
    </row>
    <row r="19" ht="80" customHeight="1">
      <c r="A19" s="27" t="inlineStr">
        <is>
          <t>发行价150.80元/股，对应发行后市值约609.93亿元；发行市盈率219.23倍（扣非孰低口径）、P/S(2025)约35.9倍，估值锚定高成长预期，显著高于C34行业平均静态市盈率38.56倍所隐含水平。战略配售引入社保基金、深度求索、腾讯关联方等，锁定期12-36个月。</t>
        </is>
      </c>
    </row>
    <row r="21">
      <c r="A21" s="3" t="inlineStr">
        <is>
          <t>七、治理与风险</t>
        </is>
      </c>
    </row>
    <row r="22" ht="80" customHeight="1">
      <c r="A22" s="27" t="inlineStr">
        <is>
          <t>特别表决权安排下王兴兴发行后表决权≤65.3090%；美国市场收入占比13.30%-19.54%，FCC 2026-07-28新规对新型号认证构成潜在限制；人形毛利率下行、行业竞争加剧（含特斯拉Optimus等）、股份支付后续授予将再增费用，均为招股书列示的核心风险。</t>
        </is>
      </c>
    </row>
    <row r="24">
      <c r="A24" s="3" t="inlineStr">
        <is>
          <t>八、预测对照</t>
        </is>
      </c>
    </row>
    <row r="25" ht="80" customHeight="1">
      <c r="A25" s="27" t="inlineStr">
        <is>
          <t>招股书预计2026H1营收105,200-112,800万元，实际（未审计）115,224.56万元，高于预计上限；扣非实际24,393.03万元，落于预计区间23,600-28,300万元内。预测数据在本底稿中均以黄底单独列示，未与已发生数据混同。</t>
        </is>
      </c>
    </row>
  </sheetData>
  <mergeCells count="8">
    <mergeCell ref="A22:J22"/>
    <mergeCell ref="A4:J4"/>
    <mergeCell ref="A7:J7"/>
    <mergeCell ref="A19:J19"/>
    <mergeCell ref="A16:J16"/>
    <mergeCell ref="A10:J10"/>
    <mergeCell ref="A25:J2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2026-09-03T16:59:23Z</dcterms:created>
  <dcterms:modified xmlns:dcterms="http://purl.org/dc/terms/" xmlns:xsi="http://www.w3.org/2001/XMLSchema-instance" xsi:type="dcterms:W3CDTF">2026-09-03T16:59:23Z</dcterms:modified>
</cp:coreProperties>
</file>